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layer Data" sheetId="2" state="visible" r:id="rId4"/>
    <sheet name="Model Settings" sheetId="3" state="visible" r:id="rId5"/>
    <sheet name="Model Results" sheetId="4" state="visible" r:id="rId6"/>
    <sheet name="Accuracy Te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<sst xmlns="http://schemas.openxmlformats.org/spreadsheetml/2006/main" count="1761" uniqueCount="462">
  <si>
    <t xml:space="preserve">How this workbook works</t>
  </si>
  <si>
    <t xml:space="preserve">1. Player Data: 100 SIMULATED players with all 89 RG data points (columns coloured by category). Replace with real, approved, anonymised data in the same layout to use it for real.</t>
  </si>
  <si>
    <t xml:space="preserve">2. Model Settings: each model's indicators, rules, thresholds (blue, editable) and weights (blue, editable), with the research basis for each.</t>
  </si>
  <si>
    <t xml:space="preserve">3. Model Results: 12 models per player, all formulas. Scores are 0–100 = % of weighted warning signs triggered.</t>
  </si>
  <si>
    <t xml:space="preserve">   M1 Overall harm risk · M2 Early warning (new accounts) · M3 Chasing losses · M4 Financial vulnerability · M5 Binge/episode · M6 Self-exclusion prediction</t>
  </si>
  <si>
    <t xml:space="preserve">   M7 Player segment (Catania-style types) · M8 Harm language alert · M9 Marketing filter · M10 Behaviour change · M11 Spain DGOJ-style check · M12 Intervention effectiveness</t>
  </si>
  <si>
    <t xml:space="preserve">4. Overall risk band: High if hard rules fire (harm language, third-party contact, national self-exclusion match) or M1 ≥ High; Medium if M1 ≥ Medium or M3/M5/M10 ≥ flag %.</t>
  </si>
  <si>
    <t xml:space="preserve">5. Accuracy Test: compares flags with the simulated outcome (TP, FP, FN, TN, accuracy, sensitivity, specificity, precision). Switch High vs High+Medium to see the trade-off.</t>
  </si>
  <si>
    <t xml:space="preserve">Important:</t>
  </si>
  <si>
    <t xml:space="preserve">• These are rule-based (scorecard) versions of the models, which Excel can calculate. Machine-learning versions (logistic regression, LightGBM, etc.) are trained in Python on the same columns.</t>
  </si>
  <si>
    <t xml:space="preserve">• M11 is a DGOJ-STYLE check built from the publicly described indicator types; it is NOT the official DGOJ algorithm, whose 62 variables are issued to operators.</t>
  </si>
  <si>
    <t xml:space="preserve">• PGSI score (RG-079) and the simulated outcome are NOT used as model inputs, to avoid leakage.</t>
  </si>
  <si>
    <t xml:space="preserve">• Results on simulated data do not show real-world accuracy. Expect well below 100% on real data (published AUCs ≈ 0.6–0.84).</t>
  </si>
  <si>
    <t xml:space="preserve">Synthetic player data – 100 players × 89 RG data points</t>
  </si>
  <si>
    <t xml:space="preserve">SIMULATED data for testing models only – not real players. Header colour = category (see RG Data Points workbook). Last column is a simulated outcome used only to test accuracy.</t>
  </si>
  <si>
    <t xml:space="preserve">RG ID</t>
  </si>
  <si>
    <t xml:space="preserve">RG-001</t>
  </si>
  <si>
    <t xml:space="preserve">RG-002</t>
  </si>
  <si>
    <t xml:space="preserve">RG-003</t>
  </si>
  <si>
    <t xml:space="preserve">RG-004</t>
  </si>
  <si>
    <t xml:space="preserve">RG-005</t>
  </si>
  <si>
    <t xml:space="preserve">RG-006</t>
  </si>
  <si>
    <t xml:space="preserve">RG-007</t>
  </si>
  <si>
    <t xml:space="preserve">RG-008</t>
  </si>
  <si>
    <t xml:space="preserve">RG-009</t>
  </si>
  <si>
    <t xml:space="preserve">RG-010</t>
  </si>
  <si>
    <t xml:space="preserve">RG-011</t>
  </si>
  <si>
    <t xml:space="preserve">RG-012</t>
  </si>
  <si>
    <t xml:space="preserve">RG-013</t>
  </si>
  <si>
    <t xml:space="preserve">RG-014</t>
  </si>
  <si>
    <t xml:space="preserve">RG-015</t>
  </si>
  <si>
    <t xml:space="preserve">RG-016</t>
  </si>
  <si>
    <t xml:space="preserve">RG-017</t>
  </si>
  <si>
    <t xml:space="preserve">RG-018</t>
  </si>
  <si>
    <t xml:space="preserve">RG-019</t>
  </si>
  <si>
    <t xml:space="preserve">RG-020</t>
  </si>
  <si>
    <t xml:space="preserve">RG-021</t>
  </si>
  <si>
    <t xml:space="preserve">RG-022</t>
  </si>
  <si>
    <t xml:space="preserve">RG-023</t>
  </si>
  <si>
    <t xml:space="preserve">RG-024</t>
  </si>
  <si>
    <t xml:space="preserve">RG-025</t>
  </si>
  <si>
    <t xml:space="preserve">RG-026</t>
  </si>
  <si>
    <t xml:space="preserve">RG-027</t>
  </si>
  <si>
    <t xml:space="preserve">RG-028</t>
  </si>
  <si>
    <t xml:space="preserve">RG-029</t>
  </si>
  <si>
    <t xml:space="preserve">RG-030</t>
  </si>
  <si>
    <t xml:space="preserve">RG-031</t>
  </si>
  <si>
    <t xml:space="preserve">RG-032</t>
  </si>
  <si>
    <t xml:space="preserve">RG-033</t>
  </si>
  <si>
    <t xml:space="preserve">RG-034</t>
  </si>
  <si>
    <t xml:space="preserve">RG-035</t>
  </si>
  <si>
    <t xml:space="preserve">RG-036</t>
  </si>
  <si>
    <t xml:space="preserve">RG-037</t>
  </si>
  <si>
    <t xml:space="preserve">RG-038</t>
  </si>
  <si>
    <t xml:space="preserve">RG-039</t>
  </si>
  <si>
    <t xml:space="preserve">RG-040</t>
  </si>
  <si>
    <t xml:space="preserve">RG-041</t>
  </si>
  <si>
    <t xml:space="preserve">RG-042</t>
  </si>
  <si>
    <t xml:space="preserve">RG-043</t>
  </si>
  <si>
    <t xml:space="preserve">RG-044</t>
  </si>
  <si>
    <t xml:space="preserve">RG-045</t>
  </si>
  <si>
    <t xml:space="preserve">RG-046</t>
  </si>
  <si>
    <t xml:space="preserve">RG-047</t>
  </si>
  <si>
    <t xml:space="preserve">RG-048</t>
  </si>
  <si>
    <t xml:space="preserve">RG-049</t>
  </si>
  <si>
    <t xml:space="preserve">RG-050</t>
  </si>
  <si>
    <t xml:space="preserve">RG-051</t>
  </si>
  <si>
    <t xml:space="preserve">RG-052</t>
  </si>
  <si>
    <t xml:space="preserve">RG-053</t>
  </si>
  <si>
    <t xml:space="preserve">RG-054</t>
  </si>
  <si>
    <t xml:space="preserve">RG-055</t>
  </si>
  <si>
    <t xml:space="preserve">RG-056</t>
  </si>
  <si>
    <t xml:space="preserve">RG-057</t>
  </si>
  <si>
    <t xml:space="preserve">RG-058</t>
  </si>
  <si>
    <t xml:space="preserve">RG-059</t>
  </si>
  <si>
    <t xml:space="preserve">RG-060</t>
  </si>
  <si>
    <t xml:space="preserve">RG-061</t>
  </si>
  <si>
    <t xml:space="preserve">RG-062</t>
  </si>
  <si>
    <t xml:space="preserve">RG-063</t>
  </si>
  <si>
    <t xml:space="preserve">RG-064</t>
  </si>
  <si>
    <t xml:space="preserve">RG-065</t>
  </si>
  <si>
    <t xml:space="preserve">RG-066</t>
  </si>
  <si>
    <t xml:space="preserve">RG-067</t>
  </si>
  <si>
    <t xml:space="preserve">RG-068</t>
  </si>
  <si>
    <t xml:space="preserve">RG-069</t>
  </si>
  <si>
    <t xml:space="preserve">RG-070</t>
  </si>
  <si>
    <t xml:space="preserve">RG-071</t>
  </si>
  <si>
    <t xml:space="preserve">RG-072</t>
  </si>
  <si>
    <t xml:space="preserve">RG-073</t>
  </si>
  <si>
    <t xml:space="preserve">RG-074</t>
  </si>
  <si>
    <t xml:space="preserve">RG-075</t>
  </si>
  <si>
    <t xml:space="preserve">RG-076</t>
  </si>
  <si>
    <t xml:space="preserve">RG-077</t>
  </si>
  <si>
    <t xml:space="preserve">RG-078</t>
  </si>
  <si>
    <t xml:space="preserve">RG-079</t>
  </si>
  <si>
    <t xml:space="preserve">RG-080</t>
  </si>
  <si>
    <t xml:space="preserve">RG-081</t>
  </si>
  <si>
    <t xml:space="preserve">RG-082</t>
  </si>
  <si>
    <t xml:space="preserve">RG-083</t>
  </si>
  <si>
    <t xml:space="preserve">RG-084</t>
  </si>
  <si>
    <t xml:space="preserve">RG-085</t>
  </si>
  <si>
    <t xml:space="preserve">RG-086</t>
  </si>
  <si>
    <t xml:space="preserve">RG-087</t>
  </si>
  <si>
    <t xml:space="preserve">RG-088</t>
  </si>
  <si>
    <t xml:space="preserve">RG-089</t>
  </si>
  <si>
    <t xml:space="preserve">Player ID</t>
  </si>
  <si>
    <t xml:space="preserve">Age (years)</t>
  </si>
  <si>
    <t xml:space="preserve">Gender</t>
  </si>
  <si>
    <t xml:space="preserve">Country / jurisdiction</t>
  </si>
  <si>
    <t xml:space="preserve">Account age (days)</t>
  </si>
  <si>
    <t xml:space="preserve">Income / occupation band</t>
  </si>
  <si>
    <t xml:space="preserve">VIP / high-value status</t>
  </si>
  <si>
    <t xml:space="preserve">Active days (days, last 30d)</t>
  </si>
  <si>
    <t xml:space="preserve">Number of sessions (count, 30d)</t>
  </si>
  <si>
    <t xml:space="preserve">Average session length (minutes)</t>
  </si>
  <si>
    <t xml:space="preserve">Maximum session length (minutes)</t>
  </si>
  <si>
    <t xml:space="preserve">Total time gambling (hours, 30d)</t>
  </si>
  <si>
    <t xml:space="preserve">Night-time play (share 0–1)</t>
  </si>
  <si>
    <t xml:space="preserve">Weekend play (share 0–1)</t>
  </si>
  <si>
    <t xml:space="preserve">Play during working hours (share 0–1)</t>
  </si>
  <si>
    <t xml:space="preserve">Continuous play without breaks (minutes)</t>
  </si>
  <si>
    <t xml:space="preserve">Consecutive days played (days)</t>
  </si>
  <si>
    <t xml:space="preserve">Time-of-day shift (hours)</t>
  </si>
  <si>
    <t xml:space="preserve">Deposit count (count, 30d)</t>
  </si>
  <si>
    <t xml:space="preserve">Deposit amount (€, 30d)</t>
  </si>
  <si>
    <t xml:space="preserve">Deposits per session (per session)</t>
  </si>
  <si>
    <t xml:space="preserve">Multiple deposits in short time (max in any 12h)</t>
  </si>
  <si>
    <t xml:space="preserve">Deposit soon after a loss (count, 30d)</t>
  </si>
  <si>
    <t xml:space="preserve">Time between deposits (hours)</t>
  </si>
  <si>
    <t xml:space="preserve">Deposit escalation (% vs prior 30d)</t>
  </si>
  <si>
    <t xml:space="preserve">Failed / declined deposits (count, 30d)</t>
  </si>
  <si>
    <t xml:space="preserve">Night-time deposits (share 0–1)</t>
  </si>
  <si>
    <t xml:space="preserve">Deposit limit usage (share 0–1)</t>
  </si>
  <si>
    <t xml:space="preserve">Withdrawal count &amp; amount (count, 30d)</t>
  </si>
  <si>
    <t xml:space="preserve">Withdrawal variability (€)</t>
  </si>
  <si>
    <t xml:space="preserve">Cancelled / reversed withdrawals (count, 30d)</t>
  </si>
  <si>
    <t xml:space="preserve">Withdrawal-to-deposit ratio (ratio)</t>
  </si>
  <si>
    <t xml:space="preserve">Withdraw then redeposit (count, 30d)</t>
  </si>
  <si>
    <t xml:space="preserve">Number of bets (count, 30d)</t>
  </si>
  <si>
    <t xml:space="preserve">Total stake (turnover) (€, 30d)</t>
  </si>
  <si>
    <t xml:space="preserve">Average stake per bet (€)</t>
  </si>
  <si>
    <t xml:space="preserve">Maximum single bet / daily stake (€)</t>
  </si>
  <si>
    <t xml:space="preserve">Stake variability (CV)</t>
  </si>
  <si>
    <t xml:space="preserve">Stake escalation (% per week)</t>
  </si>
  <si>
    <t xml:space="preserve">Bet speed (bets/min)</t>
  </si>
  <si>
    <t xml:space="preserve">Stake increase after losses (ratio)</t>
  </si>
  <si>
    <t xml:space="preserve">Net loss (€, 30d)</t>
  </si>
  <si>
    <t xml:space="preserve">Loss per session / per active day (€)</t>
  </si>
  <si>
    <t xml:space="preserve">Loss ratio (ratio)</t>
  </si>
  <si>
    <t xml:space="preserve">Loss escalation (% vs prior 30d)</t>
  </si>
  <si>
    <t xml:space="preserve">Account depletion (share of sessions)</t>
  </si>
  <si>
    <t xml:space="preserve">Large single-day loss (€)</t>
  </si>
  <si>
    <t xml:space="preserve">Lifetime net loss (€)</t>
  </si>
  <si>
    <t xml:space="preserve">Loss vs affordability (share of monthly income)</t>
  </si>
  <si>
    <t xml:space="preserve">Number of product types (count)</t>
  </si>
  <si>
    <t xml:space="preserve">Share of high-risk products (share 0–1)</t>
  </si>
  <si>
    <t xml:space="preserve">Game volatility (1–5)</t>
  </si>
  <si>
    <t xml:space="preserve">Game switching (games/session)</t>
  </si>
  <si>
    <t xml:space="preserve">In-play betting share (share 0–1)</t>
  </si>
  <si>
    <t xml:space="preserve">Product migration</t>
  </si>
  <si>
    <t xml:space="preserve">Limits set</t>
  </si>
  <si>
    <t xml:space="preserve">Limit increases (count, 90d)</t>
  </si>
  <si>
    <t xml:space="preserve">Limit removals (count, 90d)</t>
  </si>
  <si>
    <t xml:space="preserve">Limit decreases (count, 90d)</t>
  </si>
  <si>
    <t xml:space="preserve">Time-outs / cool-offs (count, 90d)</t>
  </si>
  <si>
    <t xml:space="preserve">Self-exclusions (count, lifetime)</t>
  </si>
  <si>
    <t xml:space="preserve">Time to self-exclusion (days (blank = never))</t>
  </si>
  <si>
    <t xml:space="preserve">Reality check dismissals (seconds)</t>
  </si>
  <si>
    <t xml:space="preserve">RG page / self-test use (count, 90d)</t>
  </si>
  <si>
    <t xml:space="preserve">National self-exclusion match</t>
  </si>
  <si>
    <t xml:space="preserve">Number of payment methods (count)</t>
  </si>
  <si>
    <t xml:space="preserve">New payment methods added (count, 30d)</t>
  </si>
  <si>
    <t xml:space="preserve">Registered cards (count)</t>
  </si>
  <si>
    <t xml:space="preserve">Payment method type</t>
  </si>
  <si>
    <t xml:space="preserve">Third-party payment method</t>
  </si>
  <si>
    <t xml:space="preserve">Bonus usage rate (share 0–1)</t>
  </si>
  <si>
    <t xml:space="preserve">Bonus begging (count, 90d)</t>
  </si>
  <si>
    <t xml:space="preserve">Response to promotions (share 0–1)</t>
  </si>
  <si>
    <t xml:space="preserve">Reward / free-spin chasing (share 0–1)</t>
  </si>
  <si>
    <t xml:space="preserve">Customer service contacts (count, 90d)</t>
  </si>
  <si>
    <t xml:space="preserve">Complaints (count, 90d)</t>
  </si>
  <si>
    <t xml:space="preserve">Harm language in chat / email (messages, 90d)</t>
  </si>
  <si>
    <t xml:space="preserve">Third-party contacts</t>
  </si>
  <si>
    <t xml:space="preserve">RG interaction outcomes</t>
  </si>
  <si>
    <t xml:space="preserve">Self-reported screening (0–27 (blank = not taken))</t>
  </si>
  <si>
    <t xml:space="preserve">Login frequency (per day)</t>
  </si>
  <si>
    <t xml:space="preserve">Logins without betting (share 0–1)</t>
  </si>
  <si>
    <t xml:space="preserve">Device / channel (share 0–1)</t>
  </si>
  <si>
    <t xml:space="preserve">Account detail changes (count, 90d)</t>
  </si>
  <si>
    <t xml:space="preserve">Multiple brand accounts (count)</t>
  </si>
  <si>
    <t xml:space="preserve">Change vs own baseline (% vs baseline)</t>
  </si>
  <si>
    <t xml:space="preserve">Escalation slope (% per week)</t>
  </si>
  <si>
    <t xml:space="preserve">Early behaviour window (€ stake, first 30d)</t>
  </si>
  <si>
    <t xml:space="preserve">Look-back window (months)</t>
  </si>
  <si>
    <t xml:space="preserve">Behaviour volatility (CV of weekly spend)</t>
  </si>
  <si>
    <t xml:space="preserve">Simulated outcome: RG case (1) / not (0) – TEST ONLY</t>
  </si>
  <si>
    <t xml:space="preserve">P001</t>
  </si>
  <si>
    <t xml:space="preserve">Male</t>
  </si>
  <si>
    <t xml:space="preserve">Denmark</t>
  </si>
  <si>
    <t xml:space="preserve">Medium</t>
  </si>
  <si>
    <t xml:space="preserve">No</t>
  </si>
  <si>
    <t xml:space="preserve">E-wallet</t>
  </si>
  <si>
    <t xml:space="preserve">None</t>
  </si>
  <si>
    <t xml:space="preserve">P002</t>
  </si>
  <si>
    <t xml:space="preserve">Improved</t>
  </si>
  <si>
    <t xml:space="preserve">P003</t>
  </si>
  <si>
    <t xml:space="preserve">Spain</t>
  </si>
  <si>
    <t xml:space="preserve">Yes</t>
  </si>
  <si>
    <t xml:space="preserve">Card</t>
  </si>
  <si>
    <t xml:space="preserve">P004</t>
  </si>
  <si>
    <t xml:space="preserve">Female</t>
  </si>
  <si>
    <t xml:space="preserve">High</t>
  </si>
  <si>
    <t xml:space="preserve">Bank transfer</t>
  </si>
  <si>
    <t xml:space="preserve">P005</t>
  </si>
  <si>
    <t xml:space="preserve">P006</t>
  </si>
  <si>
    <t xml:space="preserve">UK</t>
  </si>
  <si>
    <t xml:space="preserve">P007</t>
  </si>
  <si>
    <t xml:space="preserve">Malta</t>
  </si>
  <si>
    <t xml:space="preserve">P008</t>
  </si>
  <si>
    <t xml:space="preserve">111</t>
  </si>
  <si>
    <t xml:space="preserve">P009</t>
  </si>
  <si>
    <t xml:space="preserve">P010</t>
  </si>
  <si>
    <t xml:space="preserve">P011</t>
  </si>
  <si>
    <t xml:space="preserve">Low</t>
  </si>
  <si>
    <t xml:space="preserve">P012</t>
  </si>
  <si>
    <t xml:space="preserve">P013</t>
  </si>
  <si>
    <t xml:space="preserve">P014</t>
  </si>
  <si>
    <t xml:space="preserve">Ontario</t>
  </si>
  <si>
    <t xml:space="preserve">P015</t>
  </si>
  <si>
    <t xml:space="preserve">P016</t>
  </si>
  <si>
    <t xml:space="preserve">No change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</si>
  <si>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</si>
  <si>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</si>
  <si>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</si>
  <si>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</si>
  <si>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</si>
  <si>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</si>
  <si>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</si>
  <si>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</si>
  <si>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</si>
  <si>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</si>
  <si>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</si>
  <si>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</si>
  <si>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Sweden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</si>
  <si>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</si>
  <si>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</si>
  <si>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</si>
  <si>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</si>
  <si>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</si>
  <si>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</si>
  <si>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</si>
  <si>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133</t>
  </si>
  <si>
    <t xml:space="preserve">P036</t>
  </si>
  <si>
    <t xml:space="preserve">P037</t>
  </si>
  <si>
    <t xml:space="preserve">Prepaid</t>
  </si>
  <si>
    <t xml:space="preserve">P038</t>
  </si>
  <si>
    <t xml:space="preserve">Worse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</si>
  <si>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</si>
  <si>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</si>
  <si>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</si>
  <si>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</si>
  <si>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</si>
  <si>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</si>
  <si>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</si>
  <si>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</si>
  <si>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</si>
  <si>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</si>
  <si>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</si>
  <si>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</si>
  <si>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</si>
  <si>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</si>
  <si>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</si>
  <si>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</si>
  <si>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</si>
  <si>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</si>
  <si>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153</t>
  </si>
  <si>
    <t xml:space="preserve">P057</t>
  </si>
  <si>
    <t xml:space="preserve">P058</t>
  </si>
  <si>
    <t xml:space="preserve">15</t>
  </si>
  <si>
    <t xml:space="preserve">P059</t>
  </si>
  <si>
    <t xml:space="preserve">44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</si>
  <si>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</si>
  <si>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</si>
  <si>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</si>
  <si>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</si>
  <si>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</si>
  <si>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</si>
  <si>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</si>
  <si>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</si>
  <si>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60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</si>
  <si>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</si>
  <si>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</si>
  <si>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</si>
  <si>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</si>
  <si>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</si>
  <si>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</si>
  <si>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</si>
  <si>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</si>
  <si>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</si>
  <si>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</si>
  <si>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69</t>
  </si>
  <si>
    <t xml:space="preserve">P078</t>
  </si>
  <si>
    <t xml:space="preserve">P079</t>
  </si>
  <si>
    <t xml:space="preserve">P080</t>
  </si>
  <si>
    <t xml:space="preserve">100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</si>
  <si>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</si>
  <si>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</si>
  <si>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</si>
  <si>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</si>
  <si>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</si>
  <si>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</si>
  <si>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</si>
  <si>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</si>
  <si>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</si>
  <si>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</si>
  <si>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</si>
  <si>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</si>
  <si>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</si>
  <si>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</si>
  <si>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145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</si>
  <si>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</si>
  <si>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</si>
  <si>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</si>
  <si>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</si>
  <si>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</si>
  <si>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</si>
  <si>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Model settings – indicators, thresholds and weights</t>
  </si>
  <si>
    <t xml:space="preserve">Blue cells are editable. Default thresholds ≈ top 20% of this synthetic data (or research rules where noted) – replace with your policy values.</t>
  </si>
  <si>
    <t xml:space="preserve">Model</t>
  </si>
  <si>
    <t xml:space="preserve">Data point</t>
  </si>
  <si>
    <t xml:space="preserve">Rule</t>
  </si>
  <si>
    <t xml:space="preserve">Threshold</t>
  </si>
  <si>
    <t xml:space="preserve">Weight</t>
  </si>
  <si>
    <t xml:space="preserve">Basis</t>
  </si>
  <si>
    <t xml:space="preserve">M1 Overall harm risk</t>
  </si>
  <si>
    <t xml:space="preserve">Deposits per session</t>
  </si>
  <si>
    <t xml:space="preserve">&gt;=</t>
  </si>
  <si>
    <t xml:space="preserve">Hopfgartner 2024 – strong predictor; ≈ top 20% of synthetic data</t>
  </si>
  <si>
    <t xml:space="preserve">Account depletion</t>
  </si>
  <si>
    <t xml:space="preserve">Self-exclusions</t>
  </si>
  <si>
    <t xml:space="preserve">Hopfgartner 2024; Perrot 2022</t>
  </si>
  <si>
    <t xml:space="preserve">Stake variability</t>
  </si>
  <si>
    <t xml:space="preserve">Finkenwirth 2021 – top predictor; ≈ top 20% of synthetic data</t>
  </si>
  <si>
    <t xml:space="preserve">Number of bets</t>
  </si>
  <si>
    <t xml:space="preserve">Finkenwirth 2021; ≈ top 20% of synthetic data</t>
  </si>
  <si>
    <t xml:space="preserve">Age</t>
  </si>
  <si>
    <t xml:space="preserve">&lt;=</t>
  </si>
  <si>
    <t xml:space="preserve">Hopfgartner 2024; DGOJ under-26 group</t>
  </si>
  <si>
    <t xml:space="preserve">Night-time play</t>
  </si>
  <si>
    <t xml:space="preserve">DGOJ algorithm; ≈ top 20% of synthetic data</t>
  </si>
  <si>
    <t xml:space="preserve">Average session length</t>
  </si>
  <si>
    <t xml:space="preserve">Hopfgartner 2024 (shorter sessions); ≈ bottom 20% of synthetic data</t>
  </si>
  <si>
    <t xml:space="preserve">Multiple deposits in short time</t>
  </si>
  <si>
    <t xml:space="preserve">Perrot 2022 / Luquiens 2016: 3+ deposits in 12h</t>
  </si>
  <si>
    <t xml:space="preserve">Deposit soon after a loss</t>
  </si>
  <si>
    <t xml:space="preserve">Perrot 2022: deposit within 1h of a bet</t>
  </si>
  <si>
    <t xml:space="preserve">Cancelled / reversed withdrawals</t>
  </si>
  <si>
    <t xml:space="preserve">Catania &amp; Griffiths 2021</t>
  </si>
  <si>
    <t xml:space="preserve">Limit removals</t>
  </si>
  <si>
    <t xml:space="preserve">Number of product types</t>
  </si>
  <si>
    <t xml:space="preserve">Braverman 2013 – cross-game</t>
  </si>
  <si>
    <t xml:space="preserve">Net loss</t>
  </si>
  <si>
    <t xml:space="preserve">≈ top 20% of synthetic data</t>
  </si>
  <si>
    <t xml:space="preserve">M2 Early warning (account ≤ 90 days)</t>
  </si>
  <si>
    <t xml:space="preserve">Active days</t>
  </si>
  <si>
    <t xml:space="preserve">Deposit count</t>
  </si>
  <si>
    <t xml:space="preserve">Braverman 2013</t>
  </si>
  <si>
    <t xml:space="preserve">Deposit escalation</t>
  </si>
  <si>
    <t xml:space="preserve">Stake escalation</t>
  </si>
  <si>
    <t xml:space="preserve">M3 Chasing losses</t>
  </si>
  <si>
    <t xml:space="preserve">Perrot 2022</t>
  </si>
  <si>
    <t xml:space="preserve">Hopfgartner 2024; ≈ top 20% of synthetic data</t>
  </si>
  <si>
    <t xml:space="preserve">Catania 2021</t>
  </si>
  <si>
    <t xml:space="preserve">Stake increase after losses</t>
  </si>
  <si>
    <t xml:space="preserve">Stake 30%+ higher after losses</t>
  </si>
  <si>
    <t xml:space="preserve">Withdraw then redeposit</t>
  </si>
  <si>
    <t xml:space="preserve">Industry practice</t>
  </si>
  <si>
    <t xml:space="preserve">M4 Financial vulnerability</t>
  </si>
  <si>
    <t xml:space="preserve">Failed / declined deposits</t>
  </si>
  <si>
    <t xml:space="preserve">Hopfgartner 2024 – failed deposits</t>
  </si>
  <si>
    <t xml:space="preserve">Number of payment methods</t>
  </si>
  <si>
    <t xml:space="preserve">Hopfgartner 2024</t>
  </si>
  <si>
    <t xml:space="preserve">New payment methods added</t>
  </si>
  <si>
    <t xml:space="preserve">Registered cards</t>
  </si>
  <si>
    <t xml:space="preserve">=</t>
  </si>
  <si>
    <t xml:space="preserve">Possible borrowing</t>
  </si>
  <si>
    <t xml:space="preserve">Loss vs affordability</t>
  </si>
  <si>
    <t xml:space="preserve">Loss ≥ 20% of monthly income (policy example)</t>
  </si>
  <si>
    <t xml:space="preserve">Withdrawal-to-deposit ratio</t>
  </si>
  <si>
    <t xml:space="preserve">Rarely cashes out</t>
  </si>
  <si>
    <t xml:space="preserve">M5 Binge / episode</t>
  </si>
  <si>
    <t xml:space="preserve">Maximum session length</t>
  </si>
  <si>
    <t xml:space="preserve">Continuous play without breaks</t>
  </si>
  <si>
    <t xml:space="preserve">DGOJ continuous play; ≈ top 20% of synthetic data</t>
  </si>
  <si>
    <t xml:space="preserve">Large single-day loss</t>
  </si>
  <si>
    <t xml:space="preserve">Auer &amp; Griffiths 2024; ≈ top 20% of synthetic data</t>
  </si>
  <si>
    <t xml:space="preserve">Behaviour volatility</t>
  </si>
  <si>
    <t xml:space="preserve">Consecutive days played</t>
  </si>
  <si>
    <t xml:space="preserve">M6 Self-exclusion prediction</t>
  </si>
  <si>
    <t xml:space="preserve">Limit increases</t>
  </si>
  <si>
    <t xml:space="preserve">Hopfgartner 2023 – limit changes</t>
  </si>
  <si>
    <t xml:space="preserve">Time-outs / cool-offs</t>
  </si>
  <si>
    <t xml:space="preserve">Hopfgartner 2023; ≈ top 20% of synthetic data</t>
  </si>
  <si>
    <t xml:space="preserve">Hopfgartner 2023</t>
  </si>
  <si>
    <t xml:space="preserve">Hopfgartner 2023 – multiple game types</t>
  </si>
  <si>
    <t xml:space="preserve">RG page / self-test use</t>
  </si>
  <si>
    <t xml:space="preserve">Previous self-exclusion</t>
  </si>
  <si>
    <t xml:space="preserve">M10 Behaviour change</t>
  </si>
  <si>
    <t xml:space="preserve">Change vs own baseline</t>
  </si>
  <si>
    <t xml:space="preserve">Escalation slope</t>
  </si>
  <si>
    <t xml:space="preserve">Time-of-day shift</t>
  </si>
  <si>
    <t xml:space="preserve">DGOJ deposit escalation; ≈ top 20% of synthetic data</t>
  </si>
  <si>
    <t xml:space="preserve">Loss escalation</t>
  </si>
  <si>
    <t xml:space="preserve">M11 Spain DGOJ-style check</t>
  </si>
  <si>
    <t xml:space="preserve">Frequency; ≈ top 20% of synthetic data</t>
  </si>
  <si>
    <t xml:space="preserve">Total stake (turnover)</t>
  </si>
  <si>
    <t xml:space="preserve">Volume; ≈ top 20% of synthetic data</t>
  </si>
  <si>
    <t xml:space="preserve">Variability; ≈ top 20% of synthetic data</t>
  </si>
  <si>
    <t xml:space="preserve">Night intensity; ≈ top 20% of synthetic data</t>
  </si>
  <si>
    <t xml:space="preserve">Time between deposits</t>
  </si>
  <si>
    <t xml:space="preserve">Time between deposits; ≈ bottom 20% of synthetic data</t>
  </si>
  <si>
    <t xml:space="preserve">Deposit increase; ≈ top 20% of synthetic data</t>
  </si>
  <si>
    <t xml:space="preserve">Continuous play; ≈ top 20% of synthetic data</t>
  </si>
  <si>
    <t xml:space="preserve">Overall risk bands (M1 score, 0–100)</t>
  </si>
  <si>
    <t xml:space="preserve">Medium if M1 ≥</t>
  </si>
  <si>
    <t xml:space="preserve">High if M1 ≥</t>
  </si>
  <si>
    <t xml:space="preserve">Score ≥ this % counts as a flag (M2–M6, M10, M11)</t>
  </si>
  <si>
    <t xml:space="preserve">Early-warning applies if account age ≤ (days)</t>
  </si>
  <si>
    <t xml:space="preserve">Count as 'flagged' for accuracy test (High or High+Medium)</t>
  </si>
  <si>
    <t xml:space="preserve">Model results – 12 RG models per player</t>
  </si>
  <si>
    <t xml:space="preserve">All cells are formulas reading Player Data and Model Settings. Scores 0–100 (% of weighted warning signs triggered). Rule-based versions of the models; ML versions are built in Python.</t>
  </si>
  <si>
    <t xml:space="preserve">M1 Overall harm risk (0–100)</t>
  </si>
  <si>
    <t xml:space="preserve">M2 Early warning</t>
  </si>
  <si>
    <t xml:space="preserve">M7 Player segment</t>
  </si>
  <si>
    <t xml:space="preserve">M8 Harm language alert</t>
  </si>
  <si>
    <t xml:space="preserve">M9 Marketing filter</t>
  </si>
  <si>
    <t xml:space="preserve">M12 Intervention effectiveness</t>
  </si>
  <si>
    <t xml:space="preserve">Overall risk band</t>
  </si>
  <si>
    <t xml:space="preserve">Recommended action</t>
  </si>
  <si>
    <t xml:space="preserve">Flagged (1/0)</t>
  </si>
  <si>
    <t xml:space="preserve">Simulated outcome (test only)</t>
  </si>
  <si>
    <t xml:space="preserve">Accuracy test – flagged players vs simulated outcome</t>
  </si>
  <si>
    <t xml:space="preserve">Simulated outcome only – this shows HOW to measure accuracy, not how accurate a real model would be. Change the flag setting on Model Settings to see the trade-off.</t>
  </si>
  <si>
    <t xml:space="preserve">Flag setting used</t>
  </si>
  <si>
    <t xml:space="preserve">True positives (flagged, real case)</t>
  </si>
  <si>
    <t xml:space="preserve">False positives (flagged, not a case)</t>
  </si>
  <si>
    <t xml:space="preserve">False negatives (missed cases)</t>
  </si>
  <si>
    <t xml:space="preserve">True negatives (correctly not flagged)</t>
  </si>
  <si>
    <t xml:space="preserve">Accuracy</t>
  </si>
  <si>
    <t xml:space="preserve">Sensitivity / recall (cases caught)</t>
  </si>
  <si>
    <t xml:space="preserve">Specificity (healthy players left alone)</t>
  </si>
  <si>
    <t xml:space="preserve">Precision (flags that were real cases)</t>
  </si>
  <si>
    <t xml:space="preserve">Players flagged</t>
  </si>
  <si>
    <t xml:space="preserve">Real cases in data</t>
  </si>
  <si>
    <t xml:space="preserve">Band counts</t>
  </si>
  <si>
    <t xml:space="preserve">Players</t>
  </si>
  <si>
    <t xml:space="preserve">Of which real cases</t>
  </si>
  <si>
    <t xml:space="preserve">Segments (M7)</t>
  </si>
  <si>
    <t xml:space="preserve">Non-problem</t>
  </si>
  <si>
    <t xml:space="preserve">At-risk</t>
  </si>
  <si>
    <t xml:space="preserve">Financially vulnerable</t>
  </si>
  <si>
    <t xml:space="preserve">Emotionally vulnerable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</si>
</sst>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color rgb="FF2F5597"/>
      <name val="Arial"/>
      <family val="0"/>
      <charset val="1"/>
    </font>
    <font>
      <b val="true"/>
      <sz val="8"/>
      <color rgb="FF548235"/>
      <name val="Arial"/>
      <family val="0"/>
      <charset val="1"/>
    </font>
    <font>
      <b val="true"/>
      <sz val="8"/>
      <color rgb="FFC55A11"/>
      <name val="Arial"/>
      <family val="0"/>
      <charset val="1"/>
    </font>
    <font>
      <b val="true"/>
      <sz val="8"/>
      <color rgb="FFBF8F00"/>
      <name val="Arial"/>
      <family val="0"/>
      <charset val="1"/>
    </font>
    <font>
      <b val="true"/>
      <sz val="8"/>
      <color rgb="FF7030A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305496"/>
      <name val="Arial"/>
      <family val="0"/>
      <charset val="1"/>
    </font>
    <font>
      <b val="true"/>
      <sz val="8"/>
      <color rgb="FF006100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8"/>
      <color rgb="FF9C6500"/>
      <name val="Arial"/>
      <family val="0"/>
      <charset val="1"/>
    </font>
    <font>
      <b val="true"/>
      <sz val="8"/>
      <color rgb="FF31869B"/>
      <name val="Arial"/>
      <family val="0"/>
      <charset val="1"/>
    </font>
    <font>
      <b val="true"/>
      <sz val="8"/>
      <color rgb="FF963634"/>
      <name val="Arial"/>
      <family val="0"/>
      <charset val="1"/>
    </font>
    <font>
      <b val="true"/>
      <sz val="8"/>
      <color rgb="FF4F62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F5597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05496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31869B"/>
      <name val="Arial"/>
      <family val="0"/>
      <charset val="1"/>
    </font>
    <font>
      <b val="true"/>
      <sz val="9"/>
      <color rgb="FF963634"/>
      <name val="Arial"/>
      <family val="0"/>
      <charset val="1"/>
    </font>
    <font>
      <b val="true"/>
      <sz val="9"/>
      <color rgb="FF4F622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DDEBF7"/>
        <bgColor rgb="FFDAEEF3"/>
      </patternFill>
    </fill>
    <fill>
      <patternFill patternType="solid">
        <fgColor rgb="FFE2EFDA"/>
        <bgColor rgb="FFEBF1DE"/>
      </patternFill>
    </fill>
    <fill>
      <patternFill patternType="solid">
        <fgColor rgb="FFFCE4D6"/>
        <bgColor rgb="FFF2DCDB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BF1DE"/>
      </patternFill>
    </fill>
    <fill>
      <patternFill patternType="solid">
        <fgColor rgb="FFFFE699"/>
        <bgColor rgb="FFFFEB9C"/>
      </patternFill>
    </fill>
    <fill>
      <patternFill patternType="solid">
        <fgColor rgb="FFDAEEF3"/>
        <bgColor rgb="FFDDEBF7"/>
      </patternFill>
    </fill>
    <fill>
      <patternFill patternType="solid">
        <fgColor rgb="FFF2DCDB"/>
        <bgColor rgb="FFFCE4D6"/>
      </patternFill>
    </fill>
    <fill>
      <patternFill patternType="solid">
        <fgColor rgb="FFEBF1DE"/>
        <bgColor rgb="FFE2EFDA"/>
      </patternFill>
    </fill>
    <fill>
      <patternFill patternType="solid">
        <fgColor rgb="FF404040"/>
        <bgColor rgb="FF1F3864"/>
      </patternFill>
    </fill>
    <fill>
      <patternFill patternType="solid">
        <fgColor rgb="FF7F7F7F"/>
        <bgColor rgb="FF548235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9C5700"/>
      </patternFill>
    </fill>
    <fill>
      <patternFill patternType="solid">
        <fgColor rgb="FF31869B"/>
        <bgColor rgb="FF008080"/>
      </patternFill>
    </fill>
    <fill>
      <patternFill patternType="solid">
        <fgColor rgb="FFC00000"/>
        <bgColor rgb="FF9C0006"/>
      </patternFill>
    </fill>
    <fill>
      <patternFill patternType="solid">
        <fgColor rgb="FF9C6500"/>
        <bgColor rgb="FF9C5700"/>
      </patternFill>
    </fill>
    <fill>
      <patternFill patternType="solid">
        <fgColor rgb="FF595959"/>
        <bgColor rgb="FF4F62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F7F7F"/>
      <rgbColor rgb="FFEDEDED"/>
      <rgbColor rgb="FF963634"/>
      <rgbColor rgb="FFFFF2CC"/>
      <rgbColor rgb="FFDAEEF3"/>
      <rgbColor rgb="FF660066"/>
      <rgbColor rgb="FFFF8080"/>
      <rgbColor rgb="FF2F5597"/>
      <rgbColor rgb="FFD9E1F2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4DFEC"/>
      <rgbColor rgb="FFFFC7CE"/>
      <rgbColor rgb="FFF2DCDB"/>
      <rgbColor rgb="FFF8CBAD"/>
      <rgbColor rgb="FF3366FF"/>
      <rgbColor rgb="FF33CCCC"/>
      <rgbColor rgb="FFEBF1DE"/>
      <rgbColor rgb="FFFCE4D6"/>
      <rgbColor rgb="FFBF8F00"/>
      <rgbColor rgb="FFC55A11"/>
      <rgbColor rgb="FF595959"/>
      <rgbColor rgb="FF548235"/>
      <rgbColor rgb="FF1F3864"/>
      <rgbColor rgb="FF31869B"/>
      <rgbColor rgb="FF003300"/>
      <rgbColor rgb="FF4F6228"/>
      <rgbColor rgb="FF9C5700"/>
      <rgbColor rgb="FF7030A0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0" min="2" style="0" width="13"/>
    <col collapsed="false" customWidth="true" hidden="false" outlineLevel="0" max="91" min="91" style="0" width="16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15" hidden="false" customHeight="false" outlineLevel="0" collapsed="false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9" t="s">
        <v>43</v>
      </c>
      <c r="AD4" s="9" t="s">
        <v>44</v>
      </c>
      <c r="AE4" s="9" t="s">
        <v>45</v>
      </c>
      <c r="AF4" s="9" t="s">
        <v>46</v>
      </c>
      <c r="AG4" s="9" t="s">
        <v>47</v>
      </c>
      <c r="AH4" s="10" t="s">
        <v>48</v>
      </c>
      <c r="AI4" s="10" t="s">
        <v>49</v>
      </c>
      <c r="AJ4" s="10" t="s">
        <v>50</v>
      </c>
      <c r="AK4" s="10" t="s">
        <v>51</v>
      </c>
      <c r="AL4" s="10" t="s">
        <v>52</v>
      </c>
      <c r="AM4" s="10" t="s">
        <v>53</v>
      </c>
      <c r="AN4" s="10" t="s">
        <v>54</v>
      </c>
      <c r="AO4" s="10" t="s">
        <v>55</v>
      </c>
      <c r="AP4" s="11" t="s">
        <v>56</v>
      </c>
      <c r="AQ4" s="11" t="s">
        <v>57</v>
      </c>
      <c r="AR4" s="11" t="s">
        <v>58</v>
      </c>
      <c r="AS4" s="11" t="s">
        <v>59</v>
      </c>
      <c r="AT4" s="11" t="s">
        <v>60</v>
      </c>
      <c r="AU4" s="11" t="s">
        <v>61</v>
      </c>
      <c r="AV4" s="11" t="s">
        <v>62</v>
      </c>
      <c r="AW4" s="11" t="s">
        <v>63</v>
      </c>
      <c r="AX4" s="12" t="s">
        <v>64</v>
      </c>
      <c r="AY4" s="12" t="s">
        <v>65</v>
      </c>
      <c r="AZ4" s="12" t="s">
        <v>66</v>
      </c>
      <c r="BA4" s="12" t="s">
        <v>67</v>
      </c>
      <c r="BB4" s="12" t="s">
        <v>68</v>
      </c>
      <c r="BC4" s="12" t="s">
        <v>69</v>
      </c>
      <c r="BD4" s="13" t="s">
        <v>70</v>
      </c>
      <c r="BE4" s="13" t="s">
        <v>71</v>
      </c>
      <c r="BF4" s="13" t="s">
        <v>72</v>
      </c>
      <c r="BG4" s="13" t="s">
        <v>73</v>
      </c>
      <c r="BH4" s="13" t="s">
        <v>74</v>
      </c>
      <c r="BI4" s="13" t="s">
        <v>75</v>
      </c>
      <c r="BJ4" s="13" t="s">
        <v>76</v>
      </c>
      <c r="BK4" s="13" t="s">
        <v>77</v>
      </c>
      <c r="BL4" s="13" t="s">
        <v>78</v>
      </c>
      <c r="BM4" s="13" t="s">
        <v>79</v>
      </c>
      <c r="BN4" s="14" t="s">
        <v>80</v>
      </c>
      <c r="BO4" s="14" t="s">
        <v>81</v>
      </c>
      <c r="BP4" s="14" t="s">
        <v>82</v>
      </c>
      <c r="BQ4" s="14" t="s">
        <v>83</v>
      </c>
      <c r="BR4" s="14" t="s">
        <v>84</v>
      </c>
      <c r="BS4" s="15" t="s">
        <v>85</v>
      </c>
      <c r="BT4" s="15" t="s">
        <v>86</v>
      </c>
      <c r="BU4" s="15" t="s">
        <v>87</v>
      </c>
      <c r="BV4" s="15" t="s">
        <v>88</v>
      </c>
      <c r="BW4" s="16" t="s">
        <v>89</v>
      </c>
      <c r="BX4" s="16" t="s">
        <v>90</v>
      </c>
      <c r="BY4" s="16" t="s">
        <v>91</v>
      </c>
      <c r="BZ4" s="16" t="s">
        <v>92</v>
      </c>
      <c r="CA4" s="16" t="s">
        <v>93</v>
      </c>
      <c r="CB4" s="16" t="s">
        <v>94</v>
      </c>
      <c r="CC4" s="17" t="s">
        <v>95</v>
      </c>
      <c r="CD4" s="17" t="s">
        <v>96</v>
      </c>
      <c r="CE4" s="17" t="s">
        <v>97</v>
      </c>
      <c r="CF4" s="17" t="s">
        <v>98</v>
      </c>
      <c r="CG4" s="17" t="s">
        <v>99</v>
      </c>
      <c r="CH4" s="18" t="s">
        <v>100</v>
      </c>
      <c r="CI4" s="18" t="s">
        <v>101</v>
      </c>
      <c r="CJ4" s="18" t="s">
        <v>102</v>
      </c>
      <c r="CK4" s="18" t="s">
        <v>103</v>
      </c>
      <c r="CL4" s="18" t="s">
        <v>104</v>
      </c>
    </row>
    <row r="5" customFormat="false" ht="60" hidden="false" customHeight="true" outlineLevel="0" collapsed="false">
      <c r="A5" s="19" t="s">
        <v>105</v>
      </c>
      <c r="B5" s="20" t="s">
        <v>106</v>
      </c>
      <c r="C5" s="20" t="s">
        <v>107</v>
      </c>
      <c r="D5" s="20" t="s">
        <v>108</v>
      </c>
      <c r="E5" s="20" t="s">
        <v>109</v>
      </c>
      <c r="F5" s="20" t="s">
        <v>110</v>
      </c>
      <c r="G5" s="20" t="s">
        <v>111</v>
      </c>
      <c r="H5" s="21" t="s">
        <v>112</v>
      </c>
      <c r="I5" s="21" t="s">
        <v>113</v>
      </c>
      <c r="J5" s="21" t="s">
        <v>114</v>
      </c>
      <c r="K5" s="21" t="s">
        <v>115</v>
      </c>
      <c r="L5" s="21" t="s">
        <v>116</v>
      </c>
      <c r="M5" s="21" t="s">
        <v>117</v>
      </c>
      <c r="N5" s="21" t="s">
        <v>118</v>
      </c>
      <c r="O5" s="21" t="s">
        <v>119</v>
      </c>
      <c r="P5" s="21" t="s">
        <v>120</v>
      </c>
      <c r="Q5" s="21" t="s">
        <v>121</v>
      </c>
      <c r="R5" s="21" t="s">
        <v>122</v>
      </c>
      <c r="S5" s="22" t="s">
        <v>123</v>
      </c>
      <c r="T5" s="22" t="s">
        <v>124</v>
      </c>
      <c r="U5" s="22" t="s">
        <v>125</v>
      </c>
      <c r="V5" s="22" t="s">
        <v>126</v>
      </c>
      <c r="W5" s="22" t="s">
        <v>127</v>
      </c>
      <c r="X5" s="22" t="s">
        <v>128</v>
      </c>
      <c r="Y5" s="22" t="s">
        <v>129</v>
      </c>
      <c r="Z5" s="22" t="s">
        <v>130</v>
      </c>
      <c r="AA5" s="22" t="s">
        <v>131</v>
      </c>
      <c r="AB5" s="22" t="s">
        <v>132</v>
      </c>
      <c r="AC5" s="23" t="s">
        <v>133</v>
      </c>
      <c r="AD5" s="23" t="s">
        <v>134</v>
      </c>
      <c r="AE5" s="23" t="s">
        <v>135</v>
      </c>
      <c r="AF5" s="23" t="s">
        <v>136</v>
      </c>
      <c r="AG5" s="23" t="s">
        <v>137</v>
      </c>
      <c r="AH5" s="24" t="s">
        <v>138</v>
      </c>
      <c r="AI5" s="24" t="s">
        <v>139</v>
      </c>
      <c r="AJ5" s="24" t="s">
        <v>140</v>
      </c>
      <c r="AK5" s="24" t="s">
        <v>141</v>
      </c>
      <c r="AL5" s="24" t="s">
        <v>142</v>
      </c>
      <c r="AM5" s="24" t="s">
        <v>143</v>
      </c>
      <c r="AN5" s="24" t="s">
        <v>144</v>
      </c>
      <c r="AO5" s="24" t="s">
        <v>145</v>
      </c>
      <c r="AP5" s="25" t="s">
        <v>146</v>
      </c>
      <c r="AQ5" s="25" t="s">
        <v>147</v>
      </c>
      <c r="AR5" s="25" t="s">
        <v>148</v>
      </c>
      <c r="AS5" s="25" t="s">
        <v>149</v>
      </c>
      <c r="AT5" s="25" t="s">
        <v>150</v>
      </c>
      <c r="AU5" s="25" t="s">
        <v>151</v>
      </c>
      <c r="AV5" s="25" t="s">
        <v>152</v>
      </c>
      <c r="AW5" s="25" t="s">
        <v>153</v>
      </c>
      <c r="AX5" s="26" t="s">
        <v>154</v>
      </c>
      <c r="AY5" s="26" t="s">
        <v>155</v>
      </c>
      <c r="AZ5" s="26" t="s">
        <v>156</v>
      </c>
      <c r="BA5" s="26" t="s">
        <v>157</v>
      </c>
      <c r="BB5" s="26" t="s">
        <v>158</v>
      </c>
      <c r="BC5" s="26" t="s">
        <v>159</v>
      </c>
      <c r="BD5" s="27" t="s">
        <v>160</v>
      </c>
      <c r="BE5" s="27" t="s">
        <v>161</v>
      </c>
      <c r="BF5" s="27" t="s">
        <v>162</v>
      </c>
      <c r="BG5" s="27" t="s">
        <v>163</v>
      </c>
      <c r="BH5" s="27" t="s">
        <v>164</v>
      </c>
      <c r="BI5" s="27" t="s">
        <v>165</v>
      </c>
      <c r="BJ5" s="27" t="s">
        <v>166</v>
      </c>
      <c r="BK5" s="27" t="s">
        <v>167</v>
      </c>
      <c r="BL5" s="27" t="s">
        <v>168</v>
      </c>
      <c r="BM5" s="27" t="s">
        <v>169</v>
      </c>
      <c r="BN5" s="28" t="s">
        <v>170</v>
      </c>
      <c r="BO5" s="28" t="s">
        <v>171</v>
      </c>
      <c r="BP5" s="28" t="s">
        <v>172</v>
      </c>
      <c r="BQ5" s="28" t="s">
        <v>173</v>
      </c>
      <c r="BR5" s="28" t="s">
        <v>174</v>
      </c>
      <c r="BS5" s="29" t="s">
        <v>175</v>
      </c>
      <c r="BT5" s="29" t="s">
        <v>176</v>
      </c>
      <c r="BU5" s="29" t="s">
        <v>177</v>
      </c>
      <c r="BV5" s="29" t="s">
        <v>178</v>
      </c>
      <c r="BW5" s="30" t="s">
        <v>179</v>
      </c>
      <c r="BX5" s="30" t="s">
        <v>180</v>
      </c>
      <c r="BY5" s="30" t="s">
        <v>181</v>
      </c>
      <c r="BZ5" s="30" t="s">
        <v>182</v>
      </c>
      <c r="CA5" s="30" t="s">
        <v>183</v>
      </c>
      <c r="CB5" s="30" t="s">
        <v>184</v>
      </c>
      <c r="CC5" s="31" t="s">
        <v>185</v>
      </c>
      <c r="CD5" s="31" t="s">
        <v>186</v>
      </c>
      <c r="CE5" s="31" t="s">
        <v>187</v>
      </c>
      <c r="CF5" s="31" t="s">
        <v>188</v>
      </c>
      <c r="CG5" s="31" t="s">
        <v>189</v>
      </c>
      <c r="CH5" s="32" t="s">
        <v>190</v>
      </c>
      <c r="CI5" s="32" t="s">
        <v>191</v>
      </c>
      <c r="CJ5" s="32" t="s">
        <v>192</v>
      </c>
      <c r="CK5" s="32" t="s">
        <v>193</v>
      </c>
      <c r="CL5" s="32" t="s">
        <v>194</v>
      </c>
      <c r="CM5" s="33" t="s">
        <v>195</v>
      </c>
    </row>
    <row r="6" customFormat="false" ht="15" hidden="false" customHeight="false" outlineLevel="0" collapsed="false">
      <c r="A6" s="3" t="s">
        <v>196</v>
      </c>
      <c r="B6" s="34" t="n">
        <v>39</v>
      </c>
      <c r="C6" s="34" t="s">
        <v>197</v>
      </c>
      <c r="D6" s="34" t="s">
        <v>198</v>
      </c>
      <c r="E6" s="34" t="n">
        <v>444</v>
      </c>
      <c r="F6" s="34" t="s">
        <v>199</v>
      </c>
      <c r="G6" s="34" t="s">
        <v>200</v>
      </c>
      <c r="H6" s="34" t="n">
        <v>7</v>
      </c>
      <c r="I6" s="34" t="n">
        <v>9</v>
      </c>
      <c r="J6" s="34" t="n">
        <v>49.3</v>
      </c>
      <c r="K6" s="34" t="n">
        <v>110</v>
      </c>
      <c r="L6" s="34" t="n">
        <v>7.4</v>
      </c>
      <c r="M6" s="34" t="n">
        <v>0.17</v>
      </c>
      <c r="N6" s="34" t="n">
        <v>0.33</v>
      </c>
      <c r="O6" s="34" t="n">
        <v>0.17</v>
      </c>
      <c r="P6" s="34" t="n">
        <v>83</v>
      </c>
      <c r="Q6" s="34" t="n">
        <v>6</v>
      </c>
      <c r="R6" s="34" t="n">
        <v>0.5</v>
      </c>
      <c r="S6" s="34" t="n">
        <v>8</v>
      </c>
      <c r="T6" s="34" t="n">
        <v>216</v>
      </c>
      <c r="U6" s="34" t="n">
        <v>0.89</v>
      </c>
      <c r="V6" s="34" t="n">
        <v>1</v>
      </c>
      <c r="W6" s="34" t="n">
        <v>0</v>
      </c>
      <c r="X6" s="34" t="n">
        <v>72.2</v>
      </c>
      <c r="Y6" s="34" t="n">
        <v>67</v>
      </c>
      <c r="Z6" s="34" t="n">
        <v>0</v>
      </c>
      <c r="AA6" s="34" t="n">
        <v>0.22</v>
      </c>
      <c r="AB6" s="34" t="n">
        <v>0.31</v>
      </c>
      <c r="AC6" s="34" t="n">
        <v>7</v>
      </c>
      <c r="AD6" s="34" t="n">
        <v>123</v>
      </c>
      <c r="AE6" s="34" t="n">
        <v>0</v>
      </c>
      <c r="AF6" s="34" t="n">
        <v>0.47</v>
      </c>
      <c r="AG6" s="34" t="n">
        <v>0</v>
      </c>
      <c r="AH6" s="34" t="n">
        <v>173</v>
      </c>
      <c r="AI6" s="34" t="n">
        <v>136</v>
      </c>
      <c r="AJ6" s="34" t="n">
        <v>0.79</v>
      </c>
      <c r="AK6" s="34" t="n">
        <v>7</v>
      </c>
      <c r="AL6" s="34" t="n">
        <v>0.82</v>
      </c>
      <c r="AM6" s="34" t="n">
        <v>2.4</v>
      </c>
      <c r="AN6" s="34" t="n">
        <v>4.5</v>
      </c>
      <c r="AO6" s="34" t="n">
        <v>0.83</v>
      </c>
      <c r="AP6" s="34" t="n">
        <v>134</v>
      </c>
      <c r="AQ6" s="34" t="n">
        <v>19</v>
      </c>
      <c r="AR6" s="34" t="n">
        <v>0.985</v>
      </c>
      <c r="AS6" s="34" t="n">
        <v>32</v>
      </c>
      <c r="AT6" s="34" t="n">
        <v>0.18</v>
      </c>
      <c r="AU6" s="34" t="n">
        <v>45</v>
      </c>
      <c r="AV6" s="34" t="n">
        <v>1273</v>
      </c>
      <c r="AW6" s="34" t="n">
        <v>0.045</v>
      </c>
      <c r="AX6" s="34" t="n">
        <v>1</v>
      </c>
      <c r="AY6" s="34" t="n">
        <v>0.73</v>
      </c>
      <c r="AZ6" s="34" t="n">
        <v>1.2</v>
      </c>
      <c r="BA6" s="34" t="n">
        <v>2.7</v>
      </c>
      <c r="BB6" s="34" t="n">
        <v>0.08</v>
      </c>
      <c r="BC6" s="34" t="s">
        <v>200</v>
      </c>
      <c r="BD6" s="34" t="s">
        <v>200</v>
      </c>
      <c r="BE6" s="34" t="n">
        <v>1</v>
      </c>
      <c r="BF6" s="34" t="n">
        <v>0</v>
      </c>
      <c r="BG6" s="34" t="n">
        <v>0</v>
      </c>
      <c r="BH6" s="34" t="n">
        <v>1</v>
      </c>
      <c r="BI6" s="34" t="n">
        <v>0</v>
      </c>
      <c r="BJ6" s="34"/>
      <c r="BK6" s="34" t="n">
        <v>6</v>
      </c>
      <c r="BL6" s="34" t="n">
        <v>0</v>
      </c>
      <c r="BM6" s="34" t="s">
        <v>200</v>
      </c>
      <c r="BN6" s="34" t="n">
        <v>3</v>
      </c>
      <c r="BO6" s="34" t="n">
        <v>0</v>
      </c>
      <c r="BP6" s="34" t="n">
        <v>1</v>
      </c>
      <c r="BQ6" s="34" t="s">
        <v>201</v>
      </c>
      <c r="BR6" s="34" t="s">
        <v>200</v>
      </c>
      <c r="BS6" s="34" t="n">
        <v>0.33</v>
      </c>
      <c r="BT6" s="34" t="n">
        <v>0</v>
      </c>
      <c r="BU6" s="34" t="n">
        <v>0.17</v>
      </c>
      <c r="BV6" s="34" t="n">
        <v>0.23</v>
      </c>
      <c r="BW6" s="34" t="n">
        <v>2</v>
      </c>
      <c r="BX6" s="34" t="n">
        <v>0</v>
      </c>
      <c r="BY6" s="34" t="n">
        <v>0</v>
      </c>
      <c r="BZ6" s="34" t="s">
        <v>200</v>
      </c>
      <c r="CA6" s="34" t="s">
        <v>202</v>
      </c>
      <c r="CB6" s="34"/>
      <c r="CC6" s="34" t="n">
        <v>1.5</v>
      </c>
      <c r="CD6" s="34" t="n">
        <v>0.08</v>
      </c>
      <c r="CE6" s="34" t="n">
        <v>0.42</v>
      </c>
      <c r="CF6" s="34" t="n">
        <v>0</v>
      </c>
      <c r="CG6" s="34" t="n">
        <v>1</v>
      </c>
      <c r="CH6" s="34" t="n">
        <v>44</v>
      </c>
      <c r="CI6" s="34" t="n">
        <v>1.4</v>
      </c>
      <c r="CJ6" s="34" t="n">
        <v>147</v>
      </c>
      <c r="CK6" s="34" t="n">
        <v>6</v>
      </c>
      <c r="CL6" s="34" t="n">
        <v>0.47</v>
      </c>
      <c r="CM6" s="35" t="n">
        <v>0</v>
      </c>
    </row>
    <row r="7" customFormat="false" ht="15" hidden="false" customHeight="false" outlineLevel="0" collapsed="false">
      <c r="A7" s="3" t="s">
        <v>203</v>
      </c>
      <c r="B7" s="34" t="n">
        <v>31</v>
      </c>
      <c r="C7" s="34" t="s">
        <v>197</v>
      </c>
      <c r="D7" s="34" t="s">
        <v>198</v>
      </c>
      <c r="E7" s="34" t="n">
        <v>774</v>
      </c>
      <c r="F7" s="34" t="s">
        <v>199</v>
      </c>
      <c r="G7" s="34" t="s">
        <v>200</v>
      </c>
      <c r="H7" s="34" t="n">
        <v>9</v>
      </c>
      <c r="I7" s="34" t="n">
        <v>9</v>
      </c>
      <c r="J7" s="34" t="n">
        <v>28.4</v>
      </c>
      <c r="K7" s="34" t="n">
        <v>59</v>
      </c>
      <c r="L7" s="34" t="n">
        <v>4.3</v>
      </c>
      <c r="M7" s="34" t="n">
        <v>0.05</v>
      </c>
      <c r="N7" s="34" t="n">
        <v>0.26</v>
      </c>
      <c r="O7" s="34" t="n">
        <v>0.22</v>
      </c>
      <c r="P7" s="34" t="n">
        <v>41</v>
      </c>
      <c r="Q7" s="34" t="n">
        <v>1</v>
      </c>
      <c r="R7" s="34" t="n">
        <v>0.4</v>
      </c>
      <c r="S7" s="34" t="n">
        <v>19</v>
      </c>
      <c r="T7" s="34" t="n">
        <v>326</v>
      </c>
      <c r="U7" s="34" t="n">
        <v>2.11</v>
      </c>
      <c r="V7" s="34" t="n">
        <v>1</v>
      </c>
      <c r="W7" s="34" t="n">
        <v>1</v>
      </c>
      <c r="X7" s="34" t="n">
        <v>49.8</v>
      </c>
      <c r="Y7" s="34" t="n">
        <v>-17</v>
      </c>
      <c r="Z7" s="34" t="n">
        <v>0</v>
      </c>
      <c r="AA7" s="34" t="n">
        <v>0.13</v>
      </c>
      <c r="AB7" s="34" t="n">
        <v>0.56</v>
      </c>
      <c r="AC7" s="34" t="n">
        <v>3</v>
      </c>
      <c r="AD7" s="34" t="n">
        <v>44</v>
      </c>
      <c r="AE7" s="34" t="n">
        <v>0</v>
      </c>
      <c r="AF7" s="34" t="n">
        <v>0.44</v>
      </c>
      <c r="AG7" s="34" t="n">
        <v>0</v>
      </c>
      <c r="AH7" s="34" t="n">
        <v>286</v>
      </c>
      <c r="AI7" s="34" t="n">
        <v>368</v>
      </c>
      <c r="AJ7" s="34" t="n">
        <v>1.29</v>
      </c>
      <c r="AK7" s="34" t="n">
        <v>9</v>
      </c>
      <c r="AL7" s="34" t="n">
        <v>0.64</v>
      </c>
      <c r="AM7" s="34" t="n">
        <v>4.3</v>
      </c>
      <c r="AN7" s="34" t="n">
        <v>3.7</v>
      </c>
      <c r="AO7" s="34" t="n">
        <v>1.16</v>
      </c>
      <c r="AP7" s="34" t="n">
        <v>195</v>
      </c>
      <c r="AQ7" s="34" t="n">
        <v>22</v>
      </c>
      <c r="AR7" s="34" t="n">
        <v>0.53</v>
      </c>
      <c r="AS7" s="34" t="n">
        <v>-40</v>
      </c>
      <c r="AT7" s="34" t="n">
        <v>0.23</v>
      </c>
      <c r="AU7" s="34" t="n">
        <v>97</v>
      </c>
      <c r="AV7" s="34" t="n">
        <v>586</v>
      </c>
      <c r="AW7" s="34" t="n">
        <v>0.065</v>
      </c>
      <c r="AX7" s="34" t="n">
        <v>2</v>
      </c>
      <c r="AY7" s="34" t="n">
        <v>0.91</v>
      </c>
      <c r="AZ7" s="34" t="n">
        <v>2.4</v>
      </c>
      <c r="BA7" s="34" t="n">
        <v>1.8</v>
      </c>
      <c r="BB7" s="34" t="n">
        <v>0.34</v>
      </c>
      <c r="BC7" s="34" t="s">
        <v>200</v>
      </c>
      <c r="BD7" s="34" t="s">
        <v>200</v>
      </c>
      <c r="BE7" s="34" t="n">
        <v>0</v>
      </c>
      <c r="BF7" s="34" t="n">
        <v>0</v>
      </c>
      <c r="BG7" s="34" t="n">
        <v>1</v>
      </c>
      <c r="BH7" s="34" t="n">
        <v>0</v>
      </c>
      <c r="BI7" s="34" t="n">
        <v>0</v>
      </c>
      <c r="BJ7" s="34"/>
      <c r="BK7" s="34" t="n">
        <v>7.1</v>
      </c>
      <c r="BL7" s="34" t="n">
        <v>0</v>
      </c>
      <c r="BM7" s="34" t="s">
        <v>200</v>
      </c>
      <c r="BN7" s="34" t="n">
        <v>2</v>
      </c>
      <c r="BO7" s="34" t="n">
        <v>0</v>
      </c>
      <c r="BP7" s="34" t="n">
        <v>3</v>
      </c>
      <c r="BQ7" s="34" t="s">
        <v>201</v>
      </c>
      <c r="BR7" s="34" t="s">
        <v>200</v>
      </c>
      <c r="BS7" s="34" t="n">
        <v>0.21</v>
      </c>
      <c r="BT7" s="34" t="n">
        <v>0</v>
      </c>
      <c r="BU7" s="34" t="n">
        <v>0.1</v>
      </c>
      <c r="BV7" s="34" t="n">
        <v>0.22</v>
      </c>
      <c r="BW7" s="34" t="n">
        <v>1</v>
      </c>
      <c r="BX7" s="34" t="n">
        <v>1</v>
      </c>
      <c r="BY7" s="34" t="n">
        <v>0</v>
      </c>
      <c r="BZ7" s="34" t="s">
        <v>200</v>
      </c>
      <c r="CA7" s="34" t="s">
        <v>204</v>
      </c>
      <c r="CB7" s="34" t="n">
        <v>1</v>
      </c>
      <c r="CC7" s="34" t="n">
        <v>1.1</v>
      </c>
      <c r="CD7" s="34" t="n">
        <v>0.22</v>
      </c>
      <c r="CE7" s="34" t="n">
        <v>0.37</v>
      </c>
      <c r="CF7" s="34" t="n">
        <v>0</v>
      </c>
      <c r="CG7" s="34" t="n">
        <v>1</v>
      </c>
      <c r="CH7" s="34" t="n">
        <v>8</v>
      </c>
      <c r="CI7" s="34" t="n">
        <v>1.8</v>
      </c>
      <c r="CJ7" s="34" t="n">
        <v>288</v>
      </c>
      <c r="CK7" s="34" t="n">
        <v>6</v>
      </c>
      <c r="CL7" s="34" t="n">
        <v>0.43</v>
      </c>
      <c r="CM7" s="35" t="n">
        <v>0</v>
      </c>
    </row>
    <row r="8" customFormat="false" ht="15" hidden="false" customHeight="false" outlineLevel="0" collapsed="false">
      <c r="A8" s="3" t="s">
        <v>205</v>
      </c>
      <c r="B8" s="34" t="n">
        <v>45</v>
      </c>
      <c r="C8" s="34" t="s">
        <v>197</v>
      </c>
      <c r="D8" s="34" t="s">
        <v>206</v>
      </c>
      <c r="E8" s="34" t="n">
        <v>422</v>
      </c>
      <c r="F8" s="34" t="s">
        <v>199</v>
      </c>
      <c r="G8" s="34" t="s">
        <v>200</v>
      </c>
      <c r="H8" s="34" t="n">
        <v>5</v>
      </c>
      <c r="I8" s="34" t="n">
        <v>5</v>
      </c>
      <c r="J8" s="34" t="n">
        <v>41.2</v>
      </c>
      <c r="K8" s="34" t="n">
        <v>96</v>
      </c>
      <c r="L8" s="34" t="n">
        <v>3.4</v>
      </c>
      <c r="M8" s="34" t="n">
        <v>0.04</v>
      </c>
      <c r="N8" s="34" t="n">
        <v>0.39</v>
      </c>
      <c r="O8" s="34" t="n">
        <v>0.16</v>
      </c>
      <c r="P8" s="34" t="n">
        <v>75</v>
      </c>
      <c r="Q8" s="34" t="n">
        <v>3</v>
      </c>
      <c r="R8" s="34" t="n">
        <v>1</v>
      </c>
      <c r="S8" s="34" t="n">
        <v>3</v>
      </c>
      <c r="T8" s="34" t="n">
        <v>37</v>
      </c>
      <c r="U8" s="34" t="n">
        <v>0.6</v>
      </c>
      <c r="V8" s="34" t="n">
        <v>1</v>
      </c>
      <c r="W8" s="34" t="n">
        <v>2</v>
      </c>
      <c r="X8" s="34" t="n">
        <v>195.3</v>
      </c>
      <c r="Y8" s="34" t="n">
        <v>-30</v>
      </c>
      <c r="Z8" s="34" t="n">
        <v>0</v>
      </c>
      <c r="AA8" s="34" t="n">
        <v>0.1</v>
      </c>
      <c r="AB8" s="34" t="n">
        <v>0.47</v>
      </c>
      <c r="AC8" s="34" t="n">
        <v>4</v>
      </c>
      <c r="AD8" s="34" t="n">
        <v>39</v>
      </c>
      <c r="AE8" s="34" t="n">
        <v>0</v>
      </c>
      <c r="AF8" s="34" t="n">
        <v>0.86</v>
      </c>
      <c r="AG8" s="34" t="n">
        <v>0</v>
      </c>
      <c r="AH8" s="34" t="n">
        <v>180</v>
      </c>
      <c r="AI8" s="34" t="n">
        <v>144</v>
      </c>
      <c r="AJ8" s="34" t="n">
        <v>0.8</v>
      </c>
      <c r="AK8" s="34" t="n">
        <v>5</v>
      </c>
      <c r="AL8" s="34" t="n">
        <v>0.7</v>
      </c>
      <c r="AM8" s="34" t="n">
        <v>-3.9</v>
      </c>
      <c r="AN8" s="34" t="n">
        <v>4.5</v>
      </c>
      <c r="AO8" s="34" t="n">
        <v>0.81</v>
      </c>
      <c r="AP8" s="34" t="n">
        <v>5</v>
      </c>
      <c r="AQ8" s="34" t="n">
        <v>1</v>
      </c>
      <c r="AR8" s="34" t="n">
        <v>0.035</v>
      </c>
      <c r="AS8" s="34" t="n">
        <v>-1</v>
      </c>
      <c r="AT8" s="34" t="n">
        <v>0.05</v>
      </c>
      <c r="AU8" s="34" t="n">
        <v>1</v>
      </c>
      <c r="AV8" s="34" t="n">
        <v>47</v>
      </c>
      <c r="AW8" s="34" t="n">
        <v>0.002</v>
      </c>
      <c r="AX8" s="34" t="n">
        <v>1</v>
      </c>
      <c r="AY8" s="34" t="n">
        <v>0.26</v>
      </c>
      <c r="AZ8" s="34" t="n">
        <v>3.2</v>
      </c>
      <c r="BA8" s="34" t="n">
        <v>1</v>
      </c>
      <c r="BB8" s="34" t="n">
        <v>0.11</v>
      </c>
      <c r="BC8" s="34" t="s">
        <v>200</v>
      </c>
      <c r="BD8" s="34" t="s">
        <v>207</v>
      </c>
      <c r="BE8" s="34" t="n">
        <v>0</v>
      </c>
      <c r="BF8" s="34" t="n">
        <v>0</v>
      </c>
      <c r="BG8" s="34" t="n">
        <v>0</v>
      </c>
      <c r="BH8" s="34" t="n">
        <v>0</v>
      </c>
      <c r="BI8" s="34" t="n">
        <v>0</v>
      </c>
      <c r="BJ8" s="34"/>
      <c r="BK8" s="34" t="n">
        <v>8</v>
      </c>
      <c r="BL8" s="34" t="n">
        <v>0</v>
      </c>
      <c r="BM8" s="34" t="s">
        <v>200</v>
      </c>
      <c r="BN8" s="34" t="n">
        <v>1</v>
      </c>
      <c r="BO8" s="34" t="n">
        <v>0</v>
      </c>
      <c r="BP8" s="34" t="n">
        <v>1</v>
      </c>
      <c r="BQ8" s="34" t="s">
        <v>208</v>
      </c>
      <c r="BR8" s="34" t="s">
        <v>207</v>
      </c>
      <c r="BS8" s="34" t="n">
        <v>0.35</v>
      </c>
      <c r="BT8" s="34" t="n">
        <v>0</v>
      </c>
      <c r="BU8" s="34" t="n">
        <v>0.31</v>
      </c>
      <c r="BV8" s="34" t="n">
        <v>0.28</v>
      </c>
      <c r="BW8" s="34" t="n">
        <v>1</v>
      </c>
      <c r="BX8" s="34" t="n">
        <v>0</v>
      </c>
      <c r="BY8" s="34" t="n">
        <v>0</v>
      </c>
      <c r="BZ8" s="34" t="s">
        <v>200</v>
      </c>
      <c r="CA8" s="34" t="s">
        <v>204</v>
      </c>
      <c r="CB8" s="34" t="n">
        <v>3</v>
      </c>
      <c r="CC8" s="34" t="n">
        <v>1.7</v>
      </c>
      <c r="CD8" s="34" t="n">
        <v>0.24</v>
      </c>
      <c r="CE8" s="34" t="n">
        <v>0.6</v>
      </c>
      <c r="CF8" s="34" t="n">
        <v>0</v>
      </c>
      <c r="CG8" s="34" t="n">
        <v>1</v>
      </c>
      <c r="CH8" s="34" t="n">
        <v>2</v>
      </c>
      <c r="CI8" s="34" t="n">
        <v>3.9</v>
      </c>
      <c r="CJ8" s="34" t="n">
        <v>100</v>
      </c>
      <c r="CK8" s="34" t="n">
        <v>6</v>
      </c>
      <c r="CL8" s="34" t="n">
        <v>0.25</v>
      </c>
      <c r="CM8" s="35" t="n">
        <v>0</v>
      </c>
    </row>
    <row r="9" customFormat="false" ht="15" hidden="false" customHeight="false" outlineLevel="0" collapsed="false">
      <c r="A9" s="3" t="s">
        <v>209</v>
      </c>
      <c r="B9" s="34" t="n">
        <v>70</v>
      </c>
      <c r="C9" s="34" t="s">
        <v>210</v>
      </c>
      <c r="D9" s="34" t="s">
        <v>206</v>
      </c>
      <c r="E9" s="34" t="n">
        <v>141</v>
      </c>
      <c r="F9" s="34" t="s">
        <v>211</v>
      </c>
      <c r="G9" s="34" t="s">
        <v>200</v>
      </c>
      <c r="H9" s="34" t="n">
        <v>2</v>
      </c>
      <c r="I9" s="34" t="n">
        <v>2</v>
      </c>
      <c r="J9" s="34" t="n">
        <v>48</v>
      </c>
      <c r="K9" s="34" t="n">
        <v>95</v>
      </c>
      <c r="L9" s="34" t="n">
        <v>1.6</v>
      </c>
      <c r="M9" s="34" t="n">
        <v>0.17</v>
      </c>
      <c r="N9" s="34" t="n">
        <v>0.26</v>
      </c>
      <c r="O9" s="34" t="n">
        <v>0.13</v>
      </c>
      <c r="P9" s="34" t="n">
        <v>67</v>
      </c>
      <c r="Q9" s="34" t="n">
        <v>2</v>
      </c>
      <c r="R9" s="34" t="n">
        <v>0.8</v>
      </c>
      <c r="S9" s="34" t="n">
        <v>1</v>
      </c>
      <c r="T9" s="34" t="n">
        <v>34</v>
      </c>
      <c r="U9" s="34" t="n">
        <v>0.5</v>
      </c>
      <c r="V9" s="34" t="n">
        <v>2</v>
      </c>
      <c r="W9" s="34" t="n">
        <v>0</v>
      </c>
      <c r="X9" s="34" t="n">
        <v>759.9</v>
      </c>
      <c r="Y9" s="34" t="n">
        <v>-41</v>
      </c>
      <c r="Z9" s="34" t="n">
        <v>1</v>
      </c>
      <c r="AA9" s="34" t="n">
        <v>0.17</v>
      </c>
      <c r="AB9" s="34" t="n">
        <v>0.01</v>
      </c>
      <c r="AC9" s="34" t="n">
        <v>5</v>
      </c>
      <c r="AD9" s="34" t="n">
        <v>123</v>
      </c>
      <c r="AE9" s="34" t="n">
        <v>1</v>
      </c>
      <c r="AF9" s="34" t="n">
        <v>0.82</v>
      </c>
      <c r="AG9" s="34" t="n">
        <v>0</v>
      </c>
      <c r="AH9" s="34" t="n">
        <v>55</v>
      </c>
      <c r="AI9" s="34" t="n">
        <v>47</v>
      </c>
      <c r="AJ9" s="34" t="n">
        <v>0.85</v>
      </c>
      <c r="AK9" s="34" t="n">
        <v>7</v>
      </c>
      <c r="AL9" s="34" t="n">
        <v>0.37</v>
      </c>
      <c r="AM9" s="34" t="n">
        <v>-2.6</v>
      </c>
      <c r="AN9" s="34" t="n">
        <v>3.8</v>
      </c>
      <c r="AO9" s="34" t="n">
        <v>0.63</v>
      </c>
      <c r="AP9" s="34" t="n">
        <v>8</v>
      </c>
      <c r="AQ9" s="34" t="n">
        <v>4</v>
      </c>
      <c r="AR9" s="34" t="n">
        <v>0.17</v>
      </c>
      <c r="AS9" s="34" t="n">
        <v>38</v>
      </c>
      <c r="AT9" s="34" t="n">
        <v>0</v>
      </c>
      <c r="AU9" s="34" t="n">
        <v>2</v>
      </c>
      <c r="AV9" s="34" t="n">
        <v>22</v>
      </c>
      <c r="AW9" s="34" t="n">
        <v>0.001</v>
      </c>
      <c r="AX9" s="34" t="n">
        <v>1</v>
      </c>
      <c r="AY9" s="34" t="n">
        <v>0.41</v>
      </c>
      <c r="AZ9" s="34" t="n">
        <v>2.5</v>
      </c>
      <c r="BA9" s="34" t="n">
        <v>1</v>
      </c>
      <c r="BB9" s="34" t="n">
        <v>0.02</v>
      </c>
      <c r="BC9" s="34" t="s">
        <v>200</v>
      </c>
      <c r="BD9" s="34" t="s">
        <v>200</v>
      </c>
      <c r="BE9" s="34" t="n">
        <v>0</v>
      </c>
      <c r="BF9" s="34" t="n">
        <v>0</v>
      </c>
      <c r="BG9" s="34" t="n">
        <v>0</v>
      </c>
      <c r="BH9" s="34" t="n">
        <v>0</v>
      </c>
      <c r="BI9" s="34" t="n">
        <v>0</v>
      </c>
      <c r="BJ9" s="34"/>
      <c r="BK9" s="34" t="n">
        <v>6.7</v>
      </c>
      <c r="BL9" s="34" t="n">
        <v>1</v>
      </c>
      <c r="BM9" s="34" t="s">
        <v>200</v>
      </c>
      <c r="BN9" s="34" t="n">
        <v>1</v>
      </c>
      <c r="BO9" s="34" t="n">
        <v>0</v>
      </c>
      <c r="BP9" s="34" t="n">
        <v>0</v>
      </c>
      <c r="BQ9" s="34" t="s">
        <v>212</v>
      </c>
      <c r="BR9" s="34" t="s">
        <v>200</v>
      </c>
      <c r="BS9" s="34" t="n">
        <v>0.14</v>
      </c>
      <c r="BT9" s="34" t="n">
        <v>0</v>
      </c>
      <c r="BU9" s="34" t="n">
        <v>0.26</v>
      </c>
      <c r="BV9" s="34" t="n">
        <v>0.34</v>
      </c>
      <c r="BW9" s="34" t="n">
        <v>1</v>
      </c>
      <c r="BX9" s="34" t="n">
        <v>0</v>
      </c>
      <c r="BY9" s="34" t="n">
        <v>0</v>
      </c>
      <c r="BZ9" s="34" t="s">
        <v>200</v>
      </c>
      <c r="CA9" s="34" t="s">
        <v>202</v>
      </c>
      <c r="CB9" s="34"/>
      <c r="CC9" s="34" t="n">
        <v>0</v>
      </c>
      <c r="CD9" s="34" t="n">
        <v>0</v>
      </c>
      <c r="CE9" s="34" t="n">
        <v>0.88</v>
      </c>
      <c r="CF9" s="34" t="n">
        <v>0</v>
      </c>
      <c r="CG9" s="34" t="n">
        <v>2</v>
      </c>
      <c r="CH9" s="34" t="n">
        <v>-35</v>
      </c>
      <c r="CI9" s="34" t="n">
        <v>-3.5</v>
      </c>
      <c r="CJ9" s="34" t="n">
        <v>28</v>
      </c>
      <c r="CK9" s="34" t="n">
        <v>4</v>
      </c>
      <c r="CL9" s="34" t="n">
        <v>0.32</v>
      </c>
      <c r="CM9" s="35" t="n">
        <v>0</v>
      </c>
    </row>
    <row r="10" customFormat="false" ht="15" hidden="false" customHeight="false" outlineLevel="0" collapsed="false">
      <c r="A10" s="3" t="s">
        <v>213</v>
      </c>
      <c r="B10" s="34" t="n">
        <v>36</v>
      </c>
      <c r="C10" s="34" t="s">
        <v>210</v>
      </c>
      <c r="D10" s="34" t="s">
        <v>206</v>
      </c>
      <c r="E10" s="34" t="n">
        <v>259</v>
      </c>
      <c r="F10" s="34" t="s">
        <v>199</v>
      </c>
      <c r="G10" s="34" t="s">
        <v>200</v>
      </c>
      <c r="H10" s="34" t="n">
        <v>1</v>
      </c>
      <c r="I10" s="34" t="n">
        <v>1</v>
      </c>
      <c r="J10" s="34" t="n">
        <v>29.5</v>
      </c>
      <c r="K10" s="34" t="n">
        <v>80</v>
      </c>
      <c r="L10" s="34" t="n">
        <v>0.5</v>
      </c>
      <c r="M10" s="34" t="n">
        <v>0.11</v>
      </c>
      <c r="N10" s="34" t="n">
        <v>0.21</v>
      </c>
      <c r="O10" s="34" t="n">
        <v>0.08</v>
      </c>
      <c r="P10" s="34" t="n">
        <v>65</v>
      </c>
      <c r="Q10" s="34" t="n">
        <v>1</v>
      </c>
      <c r="R10" s="34" t="n">
        <v>0.5</v>
      </c>
      <c r="S10" s="34" t="n">
        <v>1</v>
      </c>
      <c r="T10" s="34" t="n">
        <v>14</v>
      </c>
      <c r="U10" s="34" t="n">
        <v>1</v>
      </c>
      <c r="V10" s="34" t="n">
        <v>1</v>
      </c>
      <c r="W10" s="34" t="n">
        <v>1</v>
      </c>
      <c r="X10" s="34" t="n">
        <v>886.8</v>
      </c>
      <c r="Y10" s="34" t="n">
        <v>32</v>
      </c>
      <c r="Z10" s="34" t="n">
        <v>0</v>
      </c>
      <c r="AA10" s="34" t="n">
        <v>0.12</v>
      </c>
      <c r="AB10" s="34" t="n">
        <v>0.35</v>
      </c>
      <c r="AC10" s="34" t="n">
        <v>6</v>
      </c>
      <c r="AD10" s="34" t="n">
        <v>83</v>
      </c>
      <c r="AE10" s="34" t="n">
        <v>0</v>
      </c>
      <c r="AF10" s="34" t="n">
        <v>0.66</v>
      </c>
      <c r="AG10" s="34" t="n">
        <v>0</v>
      </c>
      <c r="AH10" s="34" t="n">
        <v>29</v>
      </c>
      <c r="AI10" s="34" t="n">
        <v>6</v>
      </c>
      <c r="AJ10" s="34" t="n">
        <v>0.21</v>
      </c>
      <c r="AK10" s="34" t="n">
        <v>1</v>
      </c>
      <c r="AL10" s="34" t="n">
        <v>0.43</v>
      </c>
      <c r="AM10" s="34" t="n">
        <v>2.5</v>
      </c>
      <c r="AN10" s="34" t="n">
        <v>4.2</v>
      </c>
      <c r="AO10" s="34" t="n">
        <v>0.89</v>
      </c>
      <c r="AP10" s="34" t="n">
        <v>6</v>
      </c>
      <c r="AQ10" s="34" t="n">
        <v>6</v>
      </c>
      <c r="AR10" s="34" t="n">
        <v>1</v>
      </c>
      <c r="AS10" s="34" t="n">
        <v>-16</v>
      </c>
      <c r="AT10" s="34" t="n">
        <v>0.13</v>
      </c>
      <c r="AU10" s="34" t="n">
        <v>1</v>
      </c>
      <c r="AV10" s="34" t="n">
        <v>18</v>
      </c>
      <c r="AW10" s="34" t="n">
        <v>0.002</v>
      </c>
      <c r="AX10" s="34" t="n">
        <v>1</v>
      </c>
      <c r="AY10" s="34" t="n">
        <v>0.35</v>
      </c>
      <c r="AZ10" s="34" t="n">
        <v>2</v>
      </c>
      <c r="BA10" s="34" t="n">
        <v>1.3</v>
      </c>
      <c r="BB10" s="34" t="n">
        <v>0.23</v>
      </c>
      <c r="BC10" s="34" t="s">
        <v>200</v>
      </c>
      <c r="BD10" s="34" t="s">
        <v>200</v>
      </c>
      <c r="BE10" s="34" t="n">
        <v>0</v>
      </c>
      <c r="BF10" s="34" t="n">
        <v>0</v>
      </c>
      <c r="BG10" s="34" t="n">
        <v>0</v>
      </c>
      <c r="BH10" s="34" t="n">
        <v>0</v>
      </c>
      <c r="BI10" s="34" t="n">
        <v>0</v>
      </c>
      <c r="BJ10" s="34"/>
      <c r="BK10" s="34" t="n">
        <v>5.9</v>
      </c>
      <c r="BL10" s="34" t="n">
        <v>1</v>
      </c>
      <c r="BM10" s="34" t="s">
        <v>200</v>
      </c>
      <c r="BN10" s="34" t="n">
        <v>1</v>
      </c>
      <c r="BO10" s="34" t="n">
        <v>0</v>
      </c>
      <c r="BP10" s="34" t="n">
        <v>1</v>
      </c>
      <c r="BQ10" s="34" t="s">
        <v>201</v>
      </c>
      <c r="BR10" s="34" t="s">
        <v>200</v>
      </c>
      <c r="BS10" s="34" t="n">
        <v>0.4</v>
      </c>
      <c r="BT10" s="34" t="n">
        <v>0</v>
      </c>
      <c r="BU10" s="34" t="n">
        <v>0.32</v>
      </c>
      <c r="BV10" s="34" t="n">
        <v>0.13</v>
      </c>
      <c r="BW10" s="34" t="n">
        <v>0</v>
      </c>
      <c r="BX10" s="34" t="n">
        <v>0</v>
      </c>
      <c r="BY10" s="34" t="n">
        <v>0</v>
      </c>
      <c r="BZ10" s="34" t="s">
        <v>200</v>
      </c>
      <c r="CA10" s="34" t="s">
        <v>202</v>
      </c>
      <c r="CB10" s="34"/>
      <c r="CC10" s="34" t="n">
        <v>1.9</v>
      </c>
      <c r="CD10" s="34" t="n">
        <v>0.07</v>
      </c>
      <c r="CE10" s="34" t="n">
        <v>0.79</v>
      </c>
      <c r="CF10" s="34" t="n">
        <v>0</v>
      </c>
      <c r="CG10" s="34" t="n">
        <v>1</v>
      </c>
      <c r="CH10" s="34" t="n">
        <v>-2</v>
      </c>
      <c r="CI10" s="34" t="n">
        <v>2.6</v>
      </c>
      <c r="CJ10" s="34" t="n">
        <v>7</v>
      </c>
      <c r="CK10" s="34" t="n">
        <v>6</v>
      </c>
      <c r="CL10" s="34" t="n">
        <v>0.2</v>
      </c>
      <c r="CM10" s="35" t="n">
        <v>0</v>
      </c>
    </row>
    <row r="11" customFormat="false" ht="15" hidden="false" customHeight="false" outlineLevel="0" collapsed="false">
      <c r="A11" s="3" t="s">
        <v>214</v>
      </c>
      <c r="B11" s="34" t="n">
        <v>42</v>
      </c>
      <c r="C11" s="34" t="s">
        <v>210</v>
      </c>
      <c r="D11" s="34" t="s">
        <v>215</v>
      </c>
      <c r="E11" s="34" t="n">
        <v>1448</v>
      </c>
      <c r="F11" s="34" t="s">
        <v>199</v>
      </c>
      <c r="G11" s="34" t="s">
        <v>200</v>
      </c>
      <c r="H11" s="34" t="n">
        <v>4</v>
      </c>
      <c r="I11" s="34" t="n">
        <v>4</v>
      </c>
      <c r="J11" s="34" t="n">
        <v>44.2</v>
      </c>
      <c r="K11" s="34" t="n">
        <v>53</v>
      </c>
      <c r="L11" s="34" t="n">
        <v>2.9</v>
      </c>
      <c r="M11" s="34" t="n">
        <v>0.04</v>
      </c>
      <c r="N11" s="34" t="n">
        <v>0.44</v>
      </c>
      <c r="O11" s="34" t="n">
        <v>0.02</v>
      </c>
      <c r="P11" s="34" t="n">
        <v>45</v>
      </c>
      <c r="Q11" s="34" t="n">
        <v>1</v>
      </c>
      <c r="R11" s="34" t="n">
        <v>2.2</v>
      </c>
      <c r="S11" s="34" t="n">
        <v>1</v>
      </c>
      <c r="T11" s="34" t="n">
        <v>26</v>
      </c>
      <c r="U11" s="34" t="n">
        <v>0.25</v>
      </c>
      <c r="V11" s="34" t="n">
        <v>1</v>
      </c>
      <c r="W11" s="34" t="n">
        <v>0</v>
      </c>
      <c r="X11" s="34" t="n">
        <v>822.7</v>
      </c>
      <c r="Y11" s="34" t="n">
        <v>43</v>
      </c>
      <c r="Z11" s="34" t="n">
        <v>0</v>
      </c>
      <c r="AA11" s="34" t="n">
        <v>0.05</v>
      </c>
      <c r="AB11" s="34" t="n">
        <v>0.01</v>
      </c>
      <c r="AC11" s="34" t="n">
        <v>4</v>
      </c>
      <c r="AD11" s="34" t="n">
        <v>72</v>
      </c>
      <c r="AE11" s="34" t="n">
        <v>0</v>
      </c>
      <c r="AF11" s="34" t="n">
        <v>0.98</v>
      </c>
      <c r="AG11" s="34" t="n">
        <v>0</v>
      </c>
      <c r="AH11" s="34" t="n">
        <v>141</v>
      </c>
      <c r="AI11" s="34" t="n">
        <v>137</v>
      </c>
      <c r="AJ11" s="34" t="n">
        <v>0.97</v>
      </c>
      <c r="AK11" s="34" t="n">
        <v>5</v>
      </c>
      <c r="AL11" s="34" t="n">
        <v>0.28</v>
      </c>
      <c r="AM11" s="34" t="n">
        <v>-2.8</v>
      </c>
      <c r="AN11" s="34" t="n">
        <v>3</v>
      </c>
      <c r="AO11" s="34" t="n">
        <v>0.65</v>
      </c>
      <c r="AP11" s="34" t="n">
        <v>6</v>
      </c>
      <c r="AQ11" s="34" t="n">
        <v>2</v>
      </c>
      <c r="AR11" s="34" t="n">
        <v>0.044</v>
      </c>
      <c r="AS11" s="34" t="n">
        <v>-19</v>
      </c>
      <c r="AT11" s="34" t="n">
        <v>0.04</v>
      </c>
      <c r="AU11" s="34" t="n">
        <v>2</v>
      </c>
      <c r="AV11" s="34" t="n">
        <v>187</v>
      </c>
      <c r="AW11" s="34" t="n">
        <v>0.002</v>
      </c>
      <c r="AX11" s="34" t="n">
        <v>1</v>
      </c>
      <c r="AY11" s="34" t="n">
        <v>0.44</v>
      </c>
      <c r="AZ11" s="34" t="n">
        <v>2.5</v>
      </c>
      <c r="BA11" s="34" t="n">
        <v>2.5</v>
      </c>
      <c r="BB11" s="34" t="n">
        <v>0.12</v>
      </c>
      <c r="BC11" s="34" t="s">
        <v>200</v>
      </c>
      <c r="BD11" s="34" t="s">
        <v>207</v>
      </c>
      <c r="BE11" s="34" t="n">
        <v>0</v>
      </c>
      <c r="BF11" s="34" t="n">
        <v>0</v>
      </c>
      <c r="BG11" s="34" t="n">
        <v>1</v>
      </c>
      <c r="BH11" s="34" t="n">
        <v>0</v>
      </c>
      <c r="BI11" s="34" t="n">
        <v>0</v>
      </c>
      <c r="BJ11" s="34"/>
      <c r="BK11" s="34" t="n">
        <v>7.6</v>
      </c>
      <c r="BL11" s="34" t="n">
        <v>0</v>
      </c>
      <c r="BM11" s="34" t="s">
        <v>200</v>
      </c>
      <c r="BN11" s="34" t="n">
        <v>1</v>
      </c>
      <c r="BO11" s="34" t="n">
        <v>0</v>
      </c>
      <c r="BP11" s="34" t="n">
        <v>0</v>
      </c>
      <c r="BQ11" s="34" t="s">
        <v>208</v>
      </c>
      <c r="BR11" s="34" t="s">
        <v>200</v>
      </c>
      <c r="BS11" s="34" t="n">
        <v>0.11</v>
      </c>
      <c r="BT11" s="34" t="n">
        <v>0</v>
      </c>
      <c r="BU11" s="34" t="n">
        <v>0.18</v>
      </c>
      <c r="BV11" s="34" t="n">
        <v>0.25</v>
      </c>
      <c r="BW11" s="34" t="n">
        <v>0</v>
      </c>
      <c r="BX11" s="34" t="n">
        <v>0</v>
      </c>
      <c r="BY11" s="34" t="n">
        <v>0</v>
      </c>
      <c r="BZ11" s="34" t="s">
        <v>200</v>
      </c>
      <c r="CA11" s="34" t="s">
        <v>202</v>
      </c>
      <c r="CB11" s="34"/>
      <c r="CC11" s="34" t="n">
        <v>0.7</v>
      </c>
      <c r="CD11" s="34" t="n">
        <v>0</v>
      </c>
      <c r="CE11" s="34" t="n">
        <v>0.53</v>
      </c>
      <c r="CF11" s="34" t="n">
        <v>0</v>
      </c>
      <c r="CG11" s="34" t="n">
        <v>1</v>
      </c>
      <c r="CH11" s="34" t="n">
        <v>-28</v>
      </c>
      <c r="CI11" s="34" t="n">
        <v>4.5</v>
      </c>
      <c r="CJ11" s="34" t="n">
        <v>44</v>
      </c>
      <c r="CK11" s="34" t="n">
        <v>6</v>
      </c>
      <c r="CL11" s="34" t="n">
        <v>0.3</v>
      </c>
      <c r="CM11" s="35" t="n">
        <v>0</v>
      </c>
    </row>
    <row r="12" customFormat="false" ht="15" hidden="false" customHeight="false" outlineLevel="0" collapsed="false">
      <c r="A12" s="3" t="s">
        <v>216</v>
      </c>
      <c r="B12" s="34" t="n">
        <v>44</v>
      </c>
      <c r="C12" s="34" t="s">
        <v>197</v>
      </c>
      <c r="D12" s="34" t="s">
        <v>217</v>
      </c>
      <c r="E12" s="34" t="n">
        <v>576</v>
      </c>
      <c r="F12" s="34" t="s">
        <v>199</v>
      </c>
      <c r="G12" s="34" t="s">
        <v>200</v>
      </c>
      <c r="H12" s="34" t="n">
        <v>16</v>
      </c>
      <c r="I12" s="34" t="n">
        <v>16</v>
      </c>
      <c r="J12" s="34" t="n">
        <v>34.3</v>
      </c>
      <c r="K12" s="34" t="n">
        <v>66</v>
      </c>
      <c r="L12" s="34" t="n">
        <v>9.2</v>
      </c>
      <c r="M12" s="34" t="n">
        <v>0.2</v>
      </c>
      <c r="N12" s="34" t="n">
        <v>0.37</v>
      </c>
      <c r="O12" s="34" t="n">
        <v>0.16</v>
      </c>
      <c r="P12" s="34" t="n">
        <v>44</v>
      </c>
      <c r="Q12" s="34" t="n">
        <v>3</v>
      </c>
      <c r="R12" s="34" t="n">
        <v>0.4</v>
      </c>
      <c r="S12" s="34" t="n">
        <v>26</v>
      </c>
      <c r="T12" s="34" t="n">
        <v>1616</v>
      </c>
      <c r="U12" s="34" t="n">
        <v>1.62</v>
      </c>
      <c r="V12" s="34" t="n">
        <v>1</v>
      </c>
      <c r="W12" s="34" t="n">
        <v>1</v>
      </c>
      <c r="X12" s="34" t="n">
        <v>22.5</v>
      </c>
      <c r="Y12" s="34" t="n">
        <v>22</v>
      </c>
      <c r="Z12" s="34" t="n">
        <v>0</v>
      </c>
      <c r="AA12" s="34" t="n">
        <v>0.21</v>
      </c>
      <c r="AB12" s="34" t="n">
        <v>0.62</v>
      </c>
      <c r="AC12" s="34" t="n">
        <v>5</v>
      </c>
      <c r="AD12" s="34" t="n">
        <v>35</v>
      </c>
      <c r="AE12" s="34" t="n">
        <v>0</v>
      </c>
      <c r="AF12" s="34" t="n">
        <v>0.53</v>
      </c>
      <c r="AG12" s="34" t="n">
        <v>1</v>
      </c>
      <c r="AH12" s="34" t="n">
        <v>898</v>
      </c>
      <c r="AI12" s="34" t="n">
        <v>1728</v>
      </c>
      <c r="AJ12" s="34" t="n">
        <v>1.92</v>
      </c>
      <c r="AK12" s="34" t="n">
        <v>20</v>
      </c>
      <c r="AL12" s="34" t="n">
        <v>0.84</v>
      </c>
      <c r="AM12" s="34" t="n">
        <v>-2.8</v>
      </c>
      <c r="AN12" s="34" t="n">
        <v>4.7</v>
      </c>
      <c r="AO12" s="34" t="n">
        <v>1.36</v>
      </c>
      <c r="AP12" s="34" t="n">
        <v>982</v>
      </c>
      <c r="AQ12" s="34" t="n">
        <v>61</v>
      </c>
      <c r="AR12" s="34" t="n">
        <v>0.568</v>
      </c>
      <c r="AS12" s="34" t="n">
        <v>23</v>
      </c>
      <c r="AT12" s="34" t="n">
        <v>0.14</v>
      </c>
      <c r="AU12" s="34" t="n">
        <v>259</v>
      </c>
      <c r="AV12" s="34" t="n">
        <v>3293</v>
      </c>
      <c r="AW12" s="34" t="n">
        <v>0.327</v>
      </c>
      <c r="AX12" s="34" t="n">
        <v>1</v>
      </c>
      <c r="AY12" s="34" t="n">
        <v>0.56</v>
      </c>
      <c r="AZ12" s="34" t="n">
        <v>1.6</v>
      </c>
      <c r="BA12" s="34" t="n">
        <v>2.9</v>
      </c>
      <c r="BB12" s="34" t="n">
        <v>0.37</v>
      </c>
      <c r="BC12" s="34" t="s">
        <v>200</v>
      </c>
      <c r="BD12" s="34" t="s">
        <v>200</v>
      </c>
      <c r="BE12" s="34" t="n">
        <v>0</v>
      </c>
      <c r="BF12" s="34" t="n">
        <v>0</v>
      </c>
      <c r="BG12" s="34" t="n">
        <v>1</v>
      </c>
      <c r="BH12" s="34" t="n">
        <v>0</v>
      </c>
      <c r="BI12" s="34" t="n">
        <v>0</v>
      </c>
      <c r="BJ12" s="34"/>
      <c r="BK12" s="34" t="n">
        <v>7.6</v>
      </c>
      <c r="BL12" s="34" t="n">
        <v>2</v>
      </c>
      <c r="BM12" s="34" t="s">
        <v>200</v>
      </c>
      <c r="BN12" s="34" t="n">
        <v>1</v>
      </c>
      <c r="BO12" s="34" t="n">
        <v>0</v>
      </c>
      <c r="BP12" s="34" t="n">
        <v>2</v>
      </c>
      <c r="BQ12" s="34" t="s">
        <v>212</v>
      </c>
      <c r="BR12" s="34" t="s">
        <v>200</v>
      </c>
      <c r="BS12" s="34" t="n">
        <v>0.2</v>
      </c>
      <c r="BT12" s="34" t="n">
        <v>0</v>
      </c>
      <c r="BU12" s="34" t="n">
        <v>0.16</v>
      </c>
      <c r="BV12" s="34" t="n">
        <v>0.26</v>
      </c>
      <c r="BW12" s="34" t="n">
        <v>1</v>
      </c>
      <c r="BX12" s="34" t="n">
        <v>0</v>
      </c>
      <c r="BY12" s="34" t="n">
        <v>0</v>
      </c>
      <c r="BZ12" s="34" t="s">
        <v>200</v>
      </c>
      <c r="CA12" s="34" t="s">
        <v>202</v>
      </c>
      <c r="CB12" s="34"/>
      <c r="CC12" s="34" t="n">
        <v>1</v>
      </c>
      <c r="CD12" s="34" t="n">
        <v>0.21</v>
      </c>
      <c r="CE12" s="34" t="n">
        <v>0.55</v>
      </c>
      <c r="CF12" s="34" t="n">
        <v>0</v>
      </c>
      <c r="CG12" s="34" t="n">
        <v>2</v>
      </c>
      <c r="CH12" s="34" t="n">
        <v>26</v>
      </c>
      <c r="CI12" s="34" t="n">
        <v>4.2</v>
      </c>
      <c r="CJ12" s="34" t="n">
        <v>1687</v>
      </c>
      <c r="CK12" s="34" t="n">
        <v>6</v>
      </c>
      <c r="CL12" s="34" t="n">
        <v>0.22</v>
      </c>
      <c r="CM12" s="35" t="n">
        <v>0</v>
      </c>
    </row>
    <row r="13" customFormat="false" ht="15" hidden="false" customHeight="false" outlineLevel="0" collapsed="false">
      <c r="A13" s="3" t="s">
        <v>218</v>
      </c>
      <c r="B13" s="34" t="n">
        <v>39</v>
      </c>
      <c r="C13" s="34" t="s">
        <v>197</v>
      </c>
      <c r="D13" s="34" t="s">
        <v>206</v>
      </c>
      <c r="E13" s="34" t="n">
        <v>865</v>
      </c>
      <c r="F13" s="34" t="s">
        <v>199</v>
      </c>
      <c r="G13" s="34" t="s">
        <v>200</v>
      </c>
      <c r="H13" s="34" t="n">
        <v>21</v>
      </c>
      <c r="I13" s="34" t="n">
        <v>39</v>
      </c>
      <c r="J13" s="34" t="n">
        <v>21.9</v>
      </c>
      <c r="K13" s="34" t="n">
        <v>69</v>
      </c>
      <c r="L13" s="34" t="n">
        <v>14.2</v>
      </c>
      <c r="M13" s="34" t="n">
        <v>0.4</v>
      </c>
      <c r="N13" s="34" t="n">
        <v>0.32</v>
      </c>
      <c r="O13" s="34" t="n">
        <v>0.17</v>
      </c>
      <c r="P13" s="34" t="n">
        <v>59</v>
      </c>
      <c r="Q13" s="34" t="n">
        <v>5</v>
      </c>
      <c r="R13" s="34" t="n">
        <v>1.3</v>
      </c>
      <c r="S13" s="34" t="n">
        <v>96</v>
      </c>
      <c r="T13" s="34" t="n">
        <v>7753</v>
      </c>
      <c r="U13" s="34" t="n">
        <v>2.46</v>
      </c>
      <c r="V13" s="34" t="n">
        <v>3</v>
      </c>
      <c r="W13" s="34" t="n">
        <v>3</v>
      </c>
      <c r="X13" s="34" t="n">
        <v>6.4</v>
      </c>
      <c r="Y13" s="34" t="n">
        <v>29</v>
      </c>
      <c r="Z13" s="34" t="n">
        <v>1</v>
      </c>
      <c r="AA13" s="34" t="n">
        <v>0.41</v>
      </c>
      <c r="AB13" s="34" t="n">
        <v>0.76</v>
      </c>
      <c r="AC13" s="34" t="n">
        <v>0</v>
      </c>
      <c r="AD13" s="34" t="n">
        <v>0</v>
      </c>
      <c r="AE13" s="34" t="n">
        <v>1</v>
      </c>
      <c r="AF13" s="34" t="n">
        <v>0.29</v>
      </c>
      <c r="AG13" s="34" t="n">
        <v>1</v>
      </c>
      <c r="AH13" s="34" t="n">
        <v>2794</v>
      </c>
      <c r="AI13" s="34" t="n">
        <v>6190</v>
      </c>
      <c r="AJ13" s="34" t="n">
        <v>2.22</v>
      </c>
      <c r="AK13" s="34" t="n">
        <v>17</v>
      </c>
      <c r="AL13" s="34" t="n">
        <v>1.15</v>
      </c>
      <c r="AM13" s="34" t="n">
        <v>-0.5</v>
      </c>
      <c r="AN13" s="34" t="n">
        <v>3.3</v>
      </c>
      <c r="AO13" s="34" t="n">
        <v>1.1</v>
      </c>
      <c r="AP13" s="34" t="n">
        <v>5990</v>
      </c>
      <c r="AQ13" s="34" t="n">
        <v>285</v>
      </c>
      <c r="AR13" s="34" t="n">
        <v>0.968</v>
      </c>
      <c r="AS13" s="34" t="n">
        <v>18</v>
      </c>
      <c r="AT13" s="34" t="n">
        <v>0.31</v>
      </c>
      <c r="AU13" s="34" t="n">
        <v>2873</v>
      </c>
      <c r="AV13" s="34" t="n">
        <v>44752</v>
      </c>
      <c r="AW13" s="34" t="n">
        <v>1.997</v>
      </c>
      <c r="AX13" s="34" t="n">
        <v>1</v>
      </c>
      <c r="AY13" s="34" t="n">
        <v>1</v>
      </c>
      <c r="AZ13" s="34" t="n">
        <v>3.3</v>
      </c>
      <c r="BA13" s="34" t="n">
        <v>2.7</v>
      </c>
      <c r="BB13" s="34" t="n">
        <v>0.45</v>
      </c>
      <c r="BC13" s="34" t="s">
        <v>200</v>
      </c>
      <c r="BD13" s="34" t="s">
        <v>207</v>
      </c>
      <c r="BE13" s="34" t="n">
        <v>2</v>
      </c>
      <c r="BF13" s="34" t="n">
        <v>1</v>
      </c>
      <c r="BG13" s="34" t="n">
        <v>0</v>
      </c>
      <c r="BH13" s="34" t="n">
        <v>1</v>
      </c>
      <c r="BI13" s="34" t="n">
        <v>1</v>
      </c>
      <c r="BJ13" s="34" t="s">
        <v>219</v>
      </c>
      <c r="BK13" s="34" t="n">
        <v>5.4</v>
      </c>
      <c r="BL13" s="34" t="n">
        <v>2</v>
      </c>
      <c r="BM13" s="34" t="s">
        <v>200</v>
      </c>
      <c r="BN13" s="34" t="n">
        <v>3</v>
      </c>
      <c r="BO13" s="34" t="n">
        <v>0</v>
      </c>
      <c r="BP13" s="34" t="n">
        <v>3</v>
      </c>
      <c r="BQ13" s="34" t="s">
        <v>208</v>
      </c>
      <c r="BR13" s="34" t="s">
        <v>200</v>
      </c>
      <c r="BS13" s="34" t="n">
        <v>0.16</v>
      </c>
      <c r="BT13" s="34" t="n">
        <v>1</v>
      </c>
      <c r="BU13" s="34" t="n">
        <v>0.43</v>
      </c>
      <c r="BV13" s="34" t="n">
        <v>0.38</v>
      </c>
      <c r="BW13" s="34" t="n">
        <v>3</v>
      </c>
      <c r="BX13" s="34" t="n">
        <v>1</v>
      </c>
      <c r="BY13" s="34" t="n">
        <v>2</v>
      </c>
      <c r="BZ13" s="34" t="s">
        <v>200</v>
      </c>
      <c r="CA13" s="34" t="s">
        <v>204</v>
      </c>
      <c r="CB13" s="34" t="n">
        <v>11</v>
      </c>
      <c r="CC13" s="34" t="n">
        <v>1.6</v>
      </c>
      <c r="CD13" s="34" t="n">
        <v>0.27</v>
      </c>
      <c r="CE13" s="34" t="n">
        <v>0.74</v>
      </c>
      <c r="CF13" s="34" t="n">
        <v>0</v>
      </c>
      <c r="CG13" s="34" t="n">
        <v>2</v>
      </c>
      <c r="CH13" s="34" t="n">
        <v>48</v>
      </c>
      <c r="CI13" s="34" t="n">
        <v>11.4</v>
      </c>
      <c r="CJ13" s="34" t="n">
        <v>7303</v>
      </c>
      <c r="CK13" s="34" t="n">
        <v>6</v>
      </c>
      <c r="CL13" s="34" t="n">
        <v>0.56</v>
      </c>
      <c r="CM13" s="35" t="n">
        <v>1</v>
      </c>
    </row>
    <row r="14" customFormat="false" ht="15" hidden="false" customHeight="false" outlineLevel="0" collapsed="false">
      <c r="A14" s="3" t="s">
        <v>220</v>
      </c>
      <c r="B14" s="34" t="n">
        <v>43</v>
      </c>
      <c r="C14" s="34" t="s">
        <v>197</v>
      </c>
      <c r="D14" s="34" t="s">
        <v>206</v>
      </c>
      <c r="E14" s="34" t="n">
        <v>661</v>
      </c>
      <c r="F14" s="34" t="s">
        <v>199</v>
      </c>
      <c r="G14" s="34" t="s">
        <v>200</v>
      </c>
      <c r="H14" s="34" t="n">
        <v>11</v>
      </c>
      <c r="I14" s="34" t="n">
        <v>18</v>
      </c>
      <c r="J14" s="34" t="n">
        <v>31.6</v>
      </c>
      <c r="K14" s="34" t="n">
        <v>59</v>
      </c>
      <c r="L14" s="34" t="n">
        <v>9.5</v>
      </c>
      <c r="M14" s="34" t="n">
        <v>0.17</v>
      </c>
      <c r="N14" s="34" t="n">
        <v>0.39</v>
      </c>
      <c r="O14" s="34" t="n">
        <v>0.05</v>
      </c>
      <c r="P14" s="34" t="n">
        <v>42</v>
      </c>
      <c r="Q14" s="34" t="n">
        <v>5</v>
      </c>
      <c r="R14" s="34" t="n">
        <v>0.6</v>
      </c>
      <c r="S14" s="34" t="n">
        <v>10</v>
      </c>
      <c r="T14" s="34" t="n">
        <v>638</v>
      </c>
      <c r="U14" s="34" t="n">
        <v>0.56</v>
      </c>
      <c r="V14" s="34" t="n">
        <v>1</v>
      </c>
      <c r="W14" s="34" t="n">
        <v>0</v>
      </c>
      <c r="X14" s="34" t="n">
        <v>65.3</v>
      </c>
      <c r="Y14" s="34" t="n">
        <v>-18</v>
      </c>
      <c r="Z14" s="34" t="n">
        <v>1</v>
      </c>
      <c r="AA14" s="34" t="n">
        <v>0.13</v>
      </c>
      <c r="AB14" s="34" t="n">
        <v>0.3</v>
      </c>
      <c r="AC14" s="34" t="n">
        <v>1</v>
      </c>
      <c r="AD14" s="34" t="n">
        <v>18</v>
      </c>
      <c r="AE14" s="34" t="n">
        <v>0</v>
      </c>
      <c r="AF14" s="34" t="n">
        <v>0.63</v>
      </c>
      <c r="AG14" s="34" t="n">
        <v>1</v>
      </c>
      <c r="AH14" s="34" t="n">
        <v>550</v>
      </c>
      <c r="AI14" s="34" t="n">
        <v>815</v>
      </c>
      <c r="AJ14" s="34" t="n">
        <v>1.48</v>
      </c>
      <c r="AK14" s="34" t="n">
        <v>9</v>
      </c>
      <c r="AL14" s="34" t="n">
        <v>0.16</v>
      </c>
      <c r="AM14" s="34" t="n">
        <v>-2.2</v>
      </c>
      <c r="AN14" s="34" t="n">
        <v>4.1</v>
      </c>
      <c r="AO14" s="34" t="n">
        <v>0.99</v>
      </c>
      <c r="AP14" s="34" t="n">
        <v>292</v>
      </c>
      <c r="AQ14" s="34" t="n">
        <v>27</v>
      </c>
      <c r="AR14" s="34" t="n">
        <v>0.358</v>
      </c>
      <c r="AS14" s="34" t="n">
        <v>-7</v>
      </c>
      <c r="AT14" s="34" t="n">
        <v>0.3</v>
      </c>
      <c r="AU14" s="34" t="n">
        <v>76</v>
      </c>
      <c r="AV14" s="34" t="n">
        <v>1364</v>
      </c>
      <c r="AW14" s="34" t="n">
        <v>0.097</v>
      </c>
      <c r="AX14" s="34" t="n">
        <v>1</v>
      </c>
      <c r="AY14" s="34" t="n">
        <v>0.53</v>
      </c>
      <c r="AZ14" s="34" t="n">
        <v>2.8</v>
      </c>
      <c r="BA14" s="34" t="n">
        <v>2.4</v>
      </c>
      <c r="BB14" s="34" t="n">
        <v>0.06</v>
      </c>
      <c r="BC14" s="34" t="s">
        <v>200</v>
      </c>
      <c r="BD14" s="34" t="s">
        <v>207</v>
      </c>
      <c r="BE14" s="34" t="n">
        <v>0</v>
      </c>
      <c r="BF14" s="34" t="n">
        <v>0</v>
      </c>
      <c r="BG14" s="34" t="n">
        <v>0</v>
      </c>
      <c r="BH14" s="34" t="n">
        <v>0</v>
      </c>
      <c r="BI14" s="34" t="n">
        <v>0</v>
      </c>
      <c r="BJ14" s="34"/>
      <c r="BK14" s="34" t="n">
        <v>5.7</v>
      </c>
      <c r="BL14" s="34" t="n">
        <v>0</v>
      </c>
      <c r="BM14" s="34" t="s">
        <v>200</v>
      </c>
      <c r="BN14" s="34" t="n">
        <v>2</v>
      </c>
      <c r="BO14" s="34" t="n">
        <v>0</v>
      </c>
      <c r="BP14" s="34" t="n">
        <v>1</v>
      </c>
      <c r="BQ14" s="34" t="s">
        <v>208</v>
      </c>
      <c r="BR14" s="34" t="s">
        <v>200</v>
      </c>
      <c r="BS14" s="34" t="n">
        <v>0.07</v>
      </c>
      <c r="BT14" s="34" t="n">
        <v>0</v>
      </c>
      <c r="BU14" s="34" t="n">
        <v>0.13</v>
      </c>
      <c r="BV14" s="34" t="n">
        <v>0.46</v>
      </c>
      <c r="BW14" s="34" t="n">
        <v>0</v>
      </c>
      <c r="BX14" s="34" t="n">
        <v>0</v>
      </c>
      <c r="BY14" s="34" t="n">
        <v>0</v>
      </c>
      <c r="BZ14" s="34" t="s">
        <v>200</v>
      </c>
      <c r="CA14" s="34" t="s">
        <v>202</v>
      </c>
      <c r="CB14" s="34"/>
      <c r="CC14" s="34" t="n">
        <v>2</v>
      </c>
      <c r="CD14" s="34" t="n">
        <v>0.28</v>
      </c>
      <c r="CE14" s="34" t="n">
        <v>0.71</v>
      </c>
      <c r="CF14" s="34" t="n">
        <v>1</v>
      </c>
      <c r="CG14" s="34" t="n">
        <v>1</v>
      </c>
      <c r="CH14" s="34" t="n">
        <v>-19</v>
      </c>
      <c r="CI14" s="34" t="n">
        <v>0.5</v>
      </c>
      <c r="CJ14" s="34" t="n">
        <v>664</v>
      </c>
      <c r="CK14" s="34" t="n">
        <v>6</v>
      </c>
      <c r="CL14" s="34" t="n">
        <v>0.14</v>
      </c>
      <c r="CM14" s="35" t="n">
        <v>0</v>
      </c>
    </row>
    <row r="15" customFormat="false" ht="15" hidden="false" customHeight="false" outlineLevel="0" collapsed="false">
      <c r="A15" s="3" t="s">
        <v>221</v>
      </c>
      <c r="B15" s="34" t="n">
        <v>44</v>
      </c>
      <c r="C15" s="34" t="s">
        <v>197</v>
      </c>
      <c r="D15" s="34" t="s">
        <v>206</v>
      </c>
      <c r="E15" s="34" t="n">
        <v>1206</v>
      </c>
      <c r="F15" s="34" t="s">
        <v>199</v>
      </c>
      <c r="G15" s="34" t="s">
        <v>200</v>
      </c>
      <c r="H15" s="34" t="n">
        <v>8</v>
      </c>
      <c r="I15" s="34" t="n">
        <v>12</v>
      </c>
      <c r="J15" s="34" t="n">
        <v>38.9</v>
      </c>
      <c r="K15" s="34" t="n">
        <v>65</v>
      </c>
      <c r="L15" s="34" t="n">
        <v>7.8</v>
      </c>
      <c r="M15" s="34" t="n">
        <v>0.08</v>
      </c>
      <c r="N15" s="34" t="n">
        <v>0.41</v>
      </c>
      <c r="O15" s="34" t="n">
        <v>0.04</v>
      </c>
      <c r="P15" s="34" t="n">
        <v>57</v>
      </c>
      <c r="Q15" s="34" t="n">
        <v>1</v>
      </c>
      <c r="R15" s="34" t="n">
        <v>0.2</v>
      </c>
      <c r="S15" s="34" t="n">
        <v>1</v>
      </c>
      <c r="T15" s="34" t="n">
        <v>25</v>
      </c>
      <c r="U15" s="34" t="n">
        <v>0.08</v>
      </c>
      <c r="V15" s="34" t="n">
        <v>1</v>
      </c>
      <c r="W15" s="34" t="n">
        <v>0</v>
      </c>
      <c r="X15" s="34" t="n">
        <v>712.6</v>
      </c>
      <c r="Y15" s="34" t="n">
        <v>23</v>
      </c>
      <c r="Z15" s="34" t="n">
        <v>0</v>
      </c>
      <c r="AA15" s="34" t="n">
        <v>0</v>
      </c>
      <c r="AB15" s="34" t="n">
        <v>0.01</v>
      </c>
      <c r="AC15" s="34" t="n">
        <v>6</v>
      </c>
      <c r="AD15" s="34" t="n">
        <v>47</v>
      </c>
      <c r="AE15" s="34" t="n">
        <v>0</v>
      </c>
      <c r="AF15" s="34" t="n">
        <v>0.43</v>
      </c>
      <c r="AG15" s="34" t="n">
        <v>0</v>
      </c>
      <c r="AH15" s="34" t="n">
        <v>286</v>
      </c>
      <c r="AI15" s="34" t="n">
        <v>162</v>
      </c>
      <c r="AJ15" s="34" t="n">
        <v>0.57</v>
      </c>
      <c r="AK15" s="34" t="n">
        <v>4</v>
      </c>
      <c r="AL15" s="34" t="n">
        <v>0.3</v>
      </c>
      <c r="AM15" s="34" t="n">
        <v>-0.9</v>
      </c>
      <c r="AN15" s="34" t="n">
        <v>2.8</v>
      </c>
      <c r="AO15" s="34" t="n">
        <v>0.99</v>
      </c>
      <c r="AP15" s="34" t="n">
        <v>17</v>
      </c>
      <c r="AQ15" s="34" t="n">
        <v>2</v>
      </c>
      <c r="AR15" s="34" t="n">
        <v>0.105</v>
      </c>
      <c r="AS15" s="34" t="n">
        <v>14</v>
      </c>
      <c r="AT15" s="34" t="n">
        <v>0</v>
      </c>
      <c r="AU15" s="34" t="n">
        <v>6</v>
      </c>
      <c r="AV15" s="34" t="n">
        <v>190</v>
      </c>
      <c r="AW15" s="34" t="n">
        <v>0.006</v>
      </c>
      <c r="AX15" s="34" t="n">
        <v>2</v>
      </c>
      <c r="AY15" s="34" t="n">
        <v>0.39</v>
      </c>
      <c r="AZ15" s="34" t="n">
        <v>2.9</v>
      </c>
      <c r="BA15" s="34" t="n">
        <v>1</v>
      </c>
      <c r="BB15" s="34" t="n">
        <v>0.11</v>
      </c>
      <c r="BC15" s="34" t="s">
        <v>200</v>
      </c>
      <c r="BD15" s="34" t="s">
        <v>207</v>
      </c>
      <c r="BE15" s="34" t="n">
        <v>0</v>
      </c>
      <c r="BF15" s="34" t="n">
        <v>0</v>
      </c>
      <c r="BG15" s="34" t="n">
        <v>1</v>
      </c>
      <c r="BH15" s="34" t="n">
        <v>0</v>
      </c>
      <c r="BI15" s="34" t="n">
        <v>0</v>
      </c>
      <c r="BJ15" s="34"/>
      <c r="BK15" s="34" t="n">
        <v>2.8</v>
      </c>
      <c r="BL15" s="34" t="n">
        <v>2</v>
      </c>
      <c r="BM15" s="34" t="s">
        <v>200</v>
      </c>
      <c r="BN15" s="34" t="n">
        <v>2</v>
      </c>
      <c r="BO15" s="34" t="n">
        <v>0</v>
      </c>
      <c r="BP15" s="34" t="n">
        <v>2</v>
      </c>
      <c r="BQ15" s="34" t="s">
        <v>212</v>
      </c>
      <c r="BR15" s="34" t="s">
        <v>200</v>
      </c>
      <c r="BS15" s="34" t="n">
        <v>0.32</v>
      </c>
      <c r="BT15" s="34" t="n">
        <v>0</v>
      </c>
      <c r="BU15" s="34" t="n">
        <v>0.2</v>
      </c>
      <c r="BV15" s="34" t="n">
        <v>0</v>
      </c>
      <c r="BW15" s="34" t="n">
        <v>1</v>
      </c>
      <c r="BX15" s="34" t="n">
        <v>0</v>
      </c>
      <c r="BY15" s="34" t="n">
        <v>0</v>
      </c>
      <c r="BZ15" s="34" t="s">
        <v>200</v>
      </c>
      <c r="CA15" s="34" t="s">
        <v>202</v>
      </c>
      <c r="CB15" s="34" t="n">
        <v>0</v>
      </c>
      <c r="CC15" s="34" t="n">
        <v>1.8</v>
      </c>
      <c r="CD15" s="34" t="n">
        <v>0.09</v>
      </c>
      <c r="CE15" s="34" t="n">
        <v>0.34</v>
      </c>
      <c r="CF15" s="34" t="n">
        <v>0</v>
      </c>
      <c r="CG15" s="34" t="n">
        <v>1</v>
      </c>
      <c r="CH15" s="34" t="n">
        <v>-15</v>
      </c>
      <c r="CI15" s="34" t="n">
        <v>-1</v>
      </c>
      <c r="CJ15" s="34" t="n">
        <v>136</v>
      </c>
      <c r="CK15" s="34" t="n">
        <v>6</v>
      </c>
      <c r="CL15" s="34" t="n">
        <v>0.43</v>
      </c>
      <c r="CM15" s="35" t="n">
        <v>1</v>
      </c>
    </row>
    <row r="16" customFormat="false" ht="15" hidden="false" customHeight="false" outlineLevel="0" collapsed="false">
      <c r="A16" s="3" t="s">
        <v>222</v>
      </c>
      <c r="B16" s="34" t="n">
        <v>46</v>
      </c>
      <c r="C16" s="34" t="s">
        <v>210</v>
      </c>
      <c r="D16" s="34" t="s">
        <v>198</v>
      </c>
      <c r="E16" s="34" t="n">
        <v>156</v>
      </c>
      <c r="F16" s="34" t="s">
        <v>223</v>
      </c>
      <c r="G16" s="34" t="s">
        <v>200</v>
      </c>
      <c r="H16" s="34" t="n">
        <v>7</v>
      </c>
      <c r="I16" s="34" t="n">
        <v>12</v>
      </c>
      <c r="J16" s="34" t="n">
        <v>32.9</v>
      </c>
      <c r="K16" s="34" t="n">
        <v>72</v>
      </c>
      <c r="L16" s="34" t="n">
        <v>6.6</v>
      </c>
      <c r="M16" s="34" t="n">
        <v>0.18</v>
      </c>
      <c r="N16" s="34" t="n">
        <v>0.33</v>
      </c>
      <c r="O16" s="34" t="n">
        <v>0.15</v>
      </c>
      <c r="P16" s="34" t="n">
        <v>72</v>
      </c>
      <c r="Q16" s="34" t="n">
        <v>6</v>
      </c>
      <c r="R16" s="34" t="n">
        <v>0.9</v>
      </c>
      <c r="S16" s="34" t="n">
        <v>22</v>
      </c>
      <c r="T16" s="34" t="n">
        <v>564</v>
      </c>
      <c r="U16" s="34" t="n">
        <v>1.83</v>
      </c>
      <c r="V16" s="34" t="n">
        <v>1</v>
      </c>
      <c r="W16" s="34" t="n">
        <v>1</v>
      </c>
      <c r="X16" s="34" t="n">
        <v>40.2</v>
      </c>
      <c r="Y16" s="34" t="n">
        <v>-3</v>
      </c>
      <c r="Z16" s="34" t="n">
        <v>0</v>
      </c>
      <c r="AA16" s="34" t="n">
        <v>0.15</v>
      </c>
      <c r="AB16" s="34" t="n">
        <v>0.52</v>
      </c>
      <c r="AC16" s="34" t="n">
        <v>5</v>
      </c>
      <c r="AD16" s="34" t="n">
        <v>46</v>
      </c>
      <c r="AE16" s="34" t="n">
        <v>0</v>
      </c>
      <c r="AF16" s="34" t="n">
        <v>0.63</v>
      </c>
      <c r="AG16" s="34" t="n">
        <v>0</v>
      </c>
      <c r="AH16" s="34" t="n">
        <v>697</v>
      </c>
      <c r="AI16" s="34" t="n">
        <v>642</v>
      </c>
      <c r="AJ16" s="34" t="n">
        <v>0.92</v>
      </c>
      <c r="AK16" s="34" t="n">
        <v>5</v>
      </c>
      <c r="AL16" s="34" t="n">
        <v>0.99</v>
      </c>
      <c r="AM16" s="34" t="n">
        <v>3.6</v>
      </c>
      <c r="AN16" s="34" t="n">
        <v>4.8</v>
      </c>
      <c r="AO16" s="34" t="n">
        <v>0.83</v>
      </c>
      <c r="AP16" s="34" t="n">
        <v>246</v>
      </c>
      <c r="AQ16" s="34" t="n">
        <v>35</v>
      </c>
      <c r="AR16" s="34" t="n">
        <v>0.383</v>
      </c>
      <c r="AS16" s="34" t="n">
        <v>22</v>
      </c>
      <c r="AT16" s="34" t="n">
        <v>0.2</v>
      </c>
      <c r="AU16" s="34" t="n">
        <v>111</v>
      </c>
      <c r="AV16" s="34" t="n">
        <v>864</v>
      </c>
      <c r="AW16" s="34" t="n">
        <v>0.164</v>
      </c>
      <c r="AX16" s="34" t="n">
        <v>1</v>
      </c>
      <c r="AY16" s="34" t="n">
        <v>0.79</v>
      </c>
      <c r="AZ16" s="34" t="n">
        <v>2.5</v>
      </c>
      <c r="BA16" s="34" t="n">
        <v>3.5</v>
      </c>
      <c r="BB16" s="34" t="n">
        <v>0.23</v>
      </c>
      <c r="BC16" s="34" t="s">
        <v>207</v>
      </c>
      <c r="BD16" s="34" t="s">
        <v>207</v>
      </c>
      <c r="BE16" s="34" t="n">
        <v>0</v>
      </c>
      <c r="BF16" s="34" t="n">
        <v>0</v>
      </c>
      <c r="BG16" s="34" t="n">
        <v>0</v>
      </c>
      <c r="BH16" s="34" t="n">
        <v>0</v>
      </c>
      <c r="BI16" s="34" t="n">
        <v>0</v>
      </c>
      <c r="BJ16" s="34"/>
      <c r="BK16" s="34" t="n">
        <v>9.6</v>
      </c>
      <c r="BL16" s="34" t="n">
        <v>2</v>
      </c>
      <c r="BM16" s="34" t="s">
        <v>200</v>
      </c>
      <c r="BN16" s="34" t="n">
        <v>1</v>
      </c>
      <c r="BO16" s="34" t="n">
        <v>0</v>
      </c>
      <c r="BP16" s="34" t="n">
        <v>1</v>
      </c>
      <c r="BQ16" s="34" t="s">
        <v>208</v>
      </c>
      <c r="BR16" s="34" t="s">
        <v>200</v>
      </c>
      <c r="BS16" s="34" t="n">
        <v>0.81</v>
      </c>
      <c r="BT16" s="34" t="n">
        <v>0</v>
      </c>
      <c r="BU16" s="34" t="n">
        <v>0.16</v>
      </c>
      <c r="BV16" s="34" t="n">
        <v>0.22</v>
      </c>
      <c r="BW16" s="34" t="n">
        <v>0</v>
      </c>
      <c r="BX16" s="34" t="n">
        <v>0</v>
      </c>
      <c r="BY16" s="34" t="n">
        <v>0</v>
      </c>
      <c r="BZ16" s="34" t="s">
        <v>200</v>
      </c>
      <c r="CA16" s="34" t="s">
        <v>202</v>
      </c>
      <c r="CB16" s="34" t="n">
        <v>4</v>
      </c>
      <c r="CC16" s="34" t="n">
        <v>1.2</v>
      </c>
      <c r="CD16" s="34" t="n">
        <v>0.16</v>
      </c>
      <c r="CE16" s="34" t="n">
        <v>0.36</v>
      </c>
      <c r="CF16" s="34" t="n">
        <v>0</v>
      </c>
      <c r="CG16" s="34" t="n">
        <v>1</v>
      </c>
      <c r="CH16" s="34" t="n">
        <v>23</v>
      </c>
      <c r="CI16" s="34" t="n">
        <v>4.6</v>
      </c>
      <c r="CJ16" s="34" t="n">
        <v>691</v>
      </c>
      <c r="CK16" s="34" t="n">
        <v>5</v>
      </c>
      <c r="CL16" s="34" t="n">
        <v>0.3</v>
      </c>
      <c r="CM16" s="35" t="n">
        <v>1</v>
      </c>
    </row>
    <row r="17" customFormat="false" ht="15" hidden="false" customHeight="false" outlineLevel="0" collapsed="false">
      <c r="A17" s="3" t="s">
        <v>224</v>
      </c>
      <c r="B17" s="34" t="n">
        <v>45</v>
      </c>
      <c r="C17" s="34" t="s">
        <v>210</v>
      </c>
      <c r="D17" s="34" t="s">
        <v>206</v>
      </c>
      <c r="E17" s="34" t="n">
        <v>426</v>
      </c>
      <c r="F17" s="34" t="s">
        <v>199</v>
      </c>
      <c r="G17" s="34" t="s">
        <v>200</v>
      </c>
      <c r="H17" s="34" t="n">
        <v>15</v>
      </c>
      <c r="I17" s="34" t="n">
        <v>19</v>
      </c>
      <c r="J17" s="34" t="n">
        <v>26.4</v>
      </c>
      <c r="K17" s="34" t="n">
        <v>44</v>
      </c>
      <c r="L17" s="34" t="n">
        <v>8.4</v>
      </c>
      <c r="M17" s="34" t="n">
        <v>0.19</v>
      </c>
      <c r="N17" s="34" t="n">
        <v>0.05</v>
      </c>
      <c r="O17" s="34" t="n">
        <v>0.06</v>
      </c>
      <c r="P17" s="34" t="n">
        <v>41</v>
      </c>
      <c r="Q17" s="34" t="n">
        <v>1</v>
      </c>
      <c r="R17" s="34" t="n">
        <v>0.4</v>
      </c>
      <c r="S17" s="34" t="n">
        <v>33</v>
      </c>
      <c r="T17" s="34" t="n">
        <v>2170</v>
      </c>
      <c r="U17" s="34" t="n">
        <v>1.74</v>
      </c>
      <c r="V17" s="34" t="n">
        <v>2</v>
      </c>
      <c r="W17" s="34" t="n">
        <v>2</v>
      </c>
      <c r="X17" s="34" t="n">
        <v>16.2</v>
      </c>
      <c r="Y17" s="34" t="n">
        <v>64</v>
      </c>
      <c r="Z17" s="34" t="n">
        <v>0</v>
      </c>
      <c r="AA17" s="34" t="n">
        <v>0.09</v>
      </c>
      <c r="AB17" s="34" t="n">
        <v>0.32</v>
      </c>
      <c r="AC17" s="34" t="n">
        <v>3</v>
      </c>
      <c r="AD17" s="34" t="n">
        <v>71</v>
      </c>
      <c r="AE17" s="34" t="n">
        <v>0</v>
      </c>
      <c r="AF17" s="34" t="n">
        <v>0.35</v>
      </c>
      <c r="AG17" s="34" t="n">
        <v>0</v>
      </c>
      <c r="AH17" s="34" t="n">
        <v>1158</v>
      </c>
      <c r="AI17" s="34" t="n">
        <v>1543</v>
      </c>
      <c r="AJ17" s="34" t="n">
        <v>1.33</v>
      </c>
      <c r="AK17" s="34" t="n">
        <v>9</v>
      </c>
      <c r="AL17" s="34" t="n">
        <v>0.63</v>
      </c>
      <c r="AM17" s="34" t="n">
        <v>2</v>
      </c>
      <c r="AN17" s="34" t="n">
        <v>4.3</v>
      </c>
      <c r="AO17" s="34" t="n">
        <v>0.83</v>
      </c>
      <c r="AP17" s="34" t="n">
        <v>1641</v>
      </c>
      <c r="AQ17" s="34" t="n">
        <v>109</v>
      </c>
      <c r="AR17" s="34" t="n">
        <v>1.064</v>
      </c>
      <c r="AS17" s="34" t="n">
        <v>23</v>
      </c>
      <c r="AT17" s="34" t="n">
        <v>0.23</v>
      </c>
      <c r="AU17" s="34" t="n">
        <v>486</v>
      </c>
      <c r="AV17" s="34" t="n">
        <v>5436</v>
      </c>
      <c r="AW17" s="34" t="n">
        <v>0.547</v>
      </c>
      <c r="AX17" s="34" t="n">
        <v>2</v>
      </c>
      <c r="AY17" s="34" t="n">
        <v>0.49</v>
      </c>
      <c r="AZ17" s="34" t="n">
        <v>3.5</v>
      </c>
      <c r="BA17" s="34" t="n">
        <v>1.9</v>
      </c>
      <c r="BB17" s="34" t="n">
        <v>0.02</v>
      </c>
      <c r="BC17" s="34" t="s">
        <v>207</v>
      </c>
      <c r="BD17" s="34" t="s">
        <v>200</v>
      </c>
      <c r="BE17" s="34" t="n">
        <v>0</v>
      </c>
      <c r="BF17" s="34" t="n">
        <v>0</v>
      </c>
      <c r="BG17" s="34" t="n">
        <v>0</v>
      </c>
      <c r="BH17" s="34" t="n">
        <v>0</v>
      </c>
      <c r="BI17" s="34" t="n">
        <v>0</v>
      </c>
      <c r="BJ17" s="34"/>
      <c r="BK17" s="34" t="n">
        <v>7.4</v>
      </c>
      <c r="BL17" s="34" t="n">
        <v>0</v>
      </c>
      <c r="BM17" s="34" t="s">
        <v>200</v>
      </c>
      <c r="BN17" s="34" t="n">
        <v>3</v>
      </c>
      <c r="BO17" s="34" t="n">
        <v>1</v>
      </c>
      <c r="BP17" s="34" t="n">
        <v>2</v>
      </c>
      <c r="BQ17" s="34" t="s">
        <v>212</v>
      </c>
      <c r="BR17" s="34" t="s">
        <v>200</v>
      </c>
      <c r="BS17" s="34" t="n">
        <v>0.15</v>
      </c>
      <c r="BT17" s="34" t="n">
        <v>0</v>
      </c>
      <c r="BU17" s="34" t="n">
        <v>0.18</v>
      </c>
      <c r="BV17" s="34" t="n">
        <v>0.07</v>
      </c>
      <c r="BW17" s="34" t="n">
        <v>2</v>
      </c>
      <c r="BX17" s="34" t="n">
        <v>0</v>
      </c>
      <c r="BY17" s="34" t="n">
        <v>0</v>
      </c>
      <c r="BZ17" s="34" t="s">
        <v>200</v>
      </c>
      <c r="CA17" s="34" t="s">
        <v>202</v>
      </c>
      <c r="CB17" s="34"/>
      <c r="CC17" s="34" t="n">
        <v>2.7</v>
      </c>
      <c r="CD17" s="34" t="n">
        <v>0.12</v>
      </c>
      <c r="CE17" s="34" t="n">
        <v>0.91</v>
      </c>
      <c r="CF17" s="34" t="n">
        <v>0</v>
      </c>
      <c r="CG17" s="34" t="n">
        <v>1</v>
      </c>
      <c r="CH17" s="34" t="n">
        <v>9</v>
      </c>
      <c r="CI17" s="34" t="n">
        <v>3.1</v>
      </c>
      <c r="CJ17" s="34" t="n">
        <v>1635</v>
      </c>
      <c r="CK17" s="34" t="n">
        <v>6</v>
      </c>
      <c r="CL17" s="34" t="n">
        <v>0.34</v>
      </c>
      <c r="CM17" s="35" t="n">
        <v>0</v>
      </c>
    </row>
    <row r="18" customFormat="false" ht="15" hidden="false" customHeight="false" outlineLevel="0" collapsed="false">
      <c r="A18" s="3" t="s">
        <v>225</v>
      </c>
      <c r="B18" s="34" t="n">
        <v>31</v>
      </c>
      <c r="C18" s="34" t="s">
        <v>197</v>
      </c>
      <c r="D18" s="34" t="s">
        <v>217</v>
      </c>
      <c r="E18" s="34" t="n">
        <v>878</v>
      </c>
      <c r="F18" s="34" t="s">
        <v>211</v>
      </c>
      <c r="G18" s="34" t="s">
        <v>200</v>
      </c>
      <c r="H18" s="34" t="n">
        <v>8</v>
      </c>
      <c r="I18" s="34" t="n">
        <v>14</v>
      </c>
      <c r="J18" s="34" t="n">
        <v>29.4</v>
      </c>
      <c r="K18" s="34" t="n">
        <v>62</v>
      </c>
      <c r="L18" s="34" t="n">
        <v>6.9</v>
      </c>
      <c r="M18" s="34" t="n">
        <v>0.09</v>
      </c>
      <c r="N18" s="34" t="n">
        <v>0.23</v>
      </c>
      <c r="O18" s="34" t="n">
        <v>0.07</v>
      </c>
      <c r="P18" s="34" t="n">
        <v>48</v>
      </c>
      <c r="Q18" s="34" t="n">
        <v>5</v>
      </c>
      <c r="R18" s="34" t="n">
        <v>2.1</v>
      </c>
      <c r="S18" s="34" t="n">
        <v>21</v>
      </c>
      <c r="T18" s="34" t="n">
        <v>1003</v>
      </c>
      <c r="U18" s="34" t="n">
        <v>1.5</v>
      </c>
      <c r="V18" s="34" t="n">
        <v>1</v>
      </c>
      <c r="W18" s="34" t="n">
        <v>1</v>
      </c>
      <c r="X18" s="34" t="n">
        <v>37.5</v>
      </c>
      <c r="Y18" s="34" t="n">
        <v>56</v>
      </c>
      <c r="Z18" s="34" t="n">
        <v>1</v>
      </c>
      <c r="AA18" s="34" t="n">
        <v>0.09</v>
      </c>
      <c r="AB18" s="34" t="n">
        <v>0.56</v>
      </c>
      <c r="AC18" s="34" t="n">
        <v>3</v>
      </c>
      <c r="AD18" s="34" t="n">
        <v>81</v>
      </c>
      <c r="AE18" s="34" t="n">
        <v>0</v>
      </c>
      <c r="AF18" s="34" t="n">
        <v>0.49</v>
      </c>
      <c r="AG18" s="34" t="n">
        <v>0</v>
      </c>
      <c r="AH18" s="34" t="n">
        <v>602</v>
      </c>
      <c r="AI18" s="34" t="n">
        <v>1359</v>
      </c>
      <c r="AJ18" s="34" t="n">
        <v>2.26</v>
      </c>
      <c r="AK18" s="34" t="n">
        <v>16</v>
      </c>
      <c r="AL18" s="34" t="n">
        <v>0.42</v>
      </c>
      <c r="AM18" s="34" t="n">
        <v>-0.8</v>
      </c>
      <c r="AN18" s="34" t="n">
        <v>2.8</v>
      </c>
      <c r="AO18" s="34" t="n">
        <v>1.11</v>
      </c>
      <c r="AP18" s="34" t="n">
        <v>695</v>
      </c>
      <c r="AQ18" s="34" t="n">
        <v>87</v>
      </c>
      <c r="AR18" s="34" t="n">
        <v>0.511</v>
      </c>
      <c r="AS18" s="34" t="n">
        <v>-1</v>
      </c>
      <c r="AT18" s="34" t="n">
        <v>0.05</v>
      </c>
      <c r="AU18" s="34" t="n">
        <v>219</v>
      </c>
      <c r="AV18" s="34" t="n">
        <v>5487</v>
      </c>
      <c r="AW18" s="34" t="n">
        <v>0.116</v>
      </c>
      <c r="AX18" s="34" t="n">
        <v>2</v>
      </c>
      <c r="AY18" s="34" t="n">
        <v>0.43</v>
      </c>
      <c r="AZ18" s="34" t="n">
        <v>3.9</v>
      </c>
      <c r="BA18" s="34" t="n">
        <v>2.8</v>
      </c>
      <c r="BB18" s="34" t="n">
        <v>0.06</v>
      </c>
      <c r="BC18" s="34" t="s">
        <v>200</v>
      </c>
      <c r="BD18" s="34" t="s">
        <v>207</v>
      </c>
      <c r="BE18" s="34" t="n">
        <v>0</v>
      </c>
      <c r="BF18" s="34" t="n">
        <v>0</v>
      </c>
      <c r="BG18" s="34" t="n">
        <v>0</v>
      </c>
      <c r="BH18" s="34" t="n">
        <v>0</v>
      </c>
      <c r="BI18" s="34" t="n">
        <v>0</v>
      </c>
      <c r="BJ18" s="34"/>
      <c r="BK18" s="34" t="n">
        <v>6.4</v>
      </c>
      <c r="BL18" s="34" t="n">
        <v>0</v>
      </c>
      <c r="BM18" s="34" t="s">
        <v>200</v>
      </c>
      <c r="BN18" s="34" t="n">
        <v>1</v>
      </c>
      <c r="BO18" s="34" t="n">
        <v>0</v>
      </c>
      <c r="BP18" s="34" t="n">
        <v>3</v>
      </c>
      <c r="BQ18" s="34" t="s">
        <v>208</v>
      </c>
      <c r="BR18" s="34" t="s">
        <v>200</v>
      </c>
      <c r="BS18" s="34" t="n">
        <v>0.15</v>
      </c>
      <c r="BT18" s="34" t="n">
        <v>0</v>
      </c>
      <c r="BU18" s="34" t="n">
        <v>0.25</v>
      </c>
      <c r="BV18" s="34" t="n">
        <v>0.22</v>
      </c>
      <c r="BW18" s="34" t="n">
        <v>1</v>
      </c>
      <c r="BX18" s="34" t="n">
        <v>0</v>
      </c>
      <c r="BY18" s="34" t="n">
        <v>0</v>
      </c>
      <c r="BZ18" s="34" t="s">
        <v>200</v>
      </c>
      <c r="CA18" s="34" t="s">
        <v>202</v>
      </c>
      <c r="CB18" s="34"/>
      <c r="CC18" s="34" t="n">
        <v>1.7</v>
      </c>
      <c r="CD18" s="34" t="n">
        <v>0.22</v>
      </c>
      <c r="CE18" s="34" t="n">
        <v>0.65</v>
      </c>
      <c r="CF18" s="34" t="n">
        <v>0</v>
      </c>
      <c r="CG18" s="34" t="n">
        <v>1</v>
      </c>
      <c r="CH18" s="34" t="n">
        <v>37</v>
      </c>
      <c r="CI18" s="34" t="n">
        <v>5.8</v>
      </c>
      <c r="CJ18" s="34" t="n">
        <v>1342</v>
      </c>
      <c r="CK18" s="34" t="n">
        <v>6</v>
      </c>
      <c r="CL18" s="34" t="n">
        <v>0.5</v>
      </c>
      <c r="CM18" s="35" t="n">
        <v>0</v>
      </c>
    </row>
    <row r="19" customFormat="false" ht="15" hidden="false" customHeight="false" outlineLevel="0" collapsed="false">
      <c r="A19" s="3" t="s">
        <v>226</v>
      </c>
      <c r="B19" s="34" t="n">
        <v>47</v>
      </c>
      <c r="C19" s="34" t="s">
        <v>210</v>
      </c>
      <c r="D19" s="34" t="s">
        <v>227</v>
      </c>
      <c r="E19" s="34" t="n">
        <v>1203</v>
      </c>
      <c r="F19" s="34" t="s">
        <v>199</v>
      </c>
      <c r="G19" s="34" t="s">
        <v>200</v>
      </c>
      <c r="H19" s="34" t="n">
        <v>4</v>
      </c>
      <c r="I19" s="34" t="n">
        <v>4</v>
      </c>
      <c r="J19" s="34" t="n">
        <v>53</v>
      </c>
      <c r="K19" s="34" t="n">
        <v>158</v>
      </c>
      <c r="L19" s="34" t="n">
        <v>3.5</v>
      </c>
      <c r="M19" s="34" t="n">
        <v>0</v>
      </c>
      <c r="N19" s="34" t="n">
        <v>0.25</v>
      </c>
      <c r="O19" s="34" t="n">
        <v>0.01</v>
      </c>
      <c r="P19" s="34" t="n">
        <v>150</v>
      </c>
      <c r="Q19" s="34" t="n">
        <v>1</v>
      </c>
      <c r="R19" s="34" t="n">
        <v>0.2</v>
      </c>
      <c r="S19" s="34" t="n">
        <v>4</v>
      </c>
      <c r="T19" s="34" t="n">
        <v>194</v>
      </c>
      <c r="U19" s="34" t="n">
        <v>1</v>
      </c>
      <c r="V19" s="34" t="n">
        <v>1</v>
      </c>
      <c r="W19" s="34" t="n">
        <v>1</v>
      </c>
      <c r="X19" s="34" t="n">
        <v>202</v>
      </c>
      <c r="Y19" s="34" t="n">
        <v>-16</v>
      </c>
      <c r="Z19" s="34" t="n">
        <v>1</v>
      </c>
      <c r="AA19" s="34" t="n">
        <v>0</v>
      </c>
      <c r="AB19" s="34" t="n">
        <v>0.19</v>
      </c>
      <c r="AC19" s="34" t="n">
        <v>4</v>
      </c>
      <c r="AD19" s="34" t="n">
        <v>78</v>
      </c>
      <c r="AE19" s="34" t="n">
        <v>0</v>
      </c>
      <c r="AF19" s="34" t="n">
        <v>0.67</v>
      </c>
      <c r="AG19" s="34" t="n">
        <v>0</v>
      </c>
      <c r="AH19" s="34" t="n">
        <v>113</v>
      </c>
      <c r="AI19" s="34" t="n">
        <v>176</v>
      </c>
      <c r="AJ19" s="34" t="n">
        <v>1.56</v>
      </c>
      <c r="AK19" s="34" t="n">
        <v>17</v>
      </c>
      <c r="AL19" s="34" t="n">
        <v>0.37</v>
      </c>
      <c r="AM19" s="34" t="n">
        <v>0</v>
      </c>
      <c r="AN19" s="34" t="n">
        <v>2.1</v>
      </c>
      <c r="AO19" s="34" t="n">
        <v>0.7</v>
      </c>
      <c r="AP19" s="34" t="n">
        <v>103</v>
      </c>
      <c r="AQ19" s="34" t="n">
        <v>26</v>
      </c>
      <c r="AR19" s="34" t="n">
        <v>0.585</v>
      </c>
      <c r="AS19" s="34" t="n">
        <v>-10</v>
      </c>
      <c r="AT19" s="34" t="n">
        <v>0.02</v>
      </c>
      <c r="AU19" s="34" t="n">
        <v>16</v>
      </c>
      <c r="AV19" s="34" t="n">
        <v>1279</v>
      </c>
      <c r="AW19" s="34" t="n">
        <v>0.034</v>
      </c>
      <c r="AX19" s="34" t="n">
        <v>1</v>
      </c>
      <c r="AY19" s="34" t="n">
        <v>0.8</v>
      </c>
      <c r="AZ19" s="34" t="n">
        <v>2</v>
      </c>
      <c r="BA19" s="34" t="n">
        <v>1.6</v>
      </c>
      <c r="BB19" s="34" t="n">
        <v>0.25</v>
      </c>
      <c r="BC19" s="34" t="s">
        <v>200</v>
      </c>
      <c r="BD19" s="34" t="s">
        <v>207</v>
      </c>
      <c r="BE19" s="34" t="n">
        <v>0</v>
      </c>
      <c r="BF19" s="34" t="n">
        <v>0</v>
      </c>
      <c r="BG19" s="34" t="n">
        <v>0</v>
      </c>
      <c r="BH19" s="34" t="n">
        <v>0</v>
      </c>
      <c r="BI19" s="34" t="n">
        <v>0</v>
      </c>
      <c r="BJ19" s="34"/>
      <c r="BK19" s="34" t="n">
        <v>8.1</v>
      </c>
      <c r="BL19" s="34" t="n">
        <v>0</v>
      </c>
      <c r="BM19" s="34" t="s">
        <v>200</v>
      </c>
      <c r="BN19" s="34" t="n">
        <v>1</v>
      </c>
      <c r="BO19" s="34" t="n">
        <v>0</v>
      </c>
      <c r="BP19" s="34" t="n">
        <v>0</v>
      </c>
      <c r="BQ19" s="34" t="s">
        <v>212</v>
      </c>
      <c r="BR19" s="34" t="s">
        <v>200</v>
      </c>
      <c r="BS19" s="34" t="n">
        <v>0.23</v>
      </c>
      <c r="BT19" s="34" t="n">
        <v>0</v>
      </c>
      <c r="BU19" s="34" t="n">
        <v>0.28</v>
      </c>
      <c r="BV19" s="34" t="n">
        <v>0.13</v>
      </c>
      <c r="BW19" s="34" t="n">
        <v>0</v>
      </c>
      <c r="BX19" s="34" t="n">
        <v>0</v>
      </c>
      <c r="BY19" s="34" t="n">
        <v>0</v>
      </c>
      <c r="BZ19" s="34" t="s">
        <v>200</v>
      </c>
      <c r="CA19" s="34" t="s">
        <v>202</v>
      </c>
      <c r="CB19" s="34" t="n">
        <v>0</v>
      </c>
      <c r="CC19" s="34" t="n">
        <v>0.6</v>
      </c>
      <c r="CD19" s="34" t="n">
        <v>0</v>
      </c>
      <c r="CE19" s="34" t="n">
        <v>0.76</v>
      </c>
      <c r="CF19" s="34" t="n">
        <v>0</v>
      </c>
      <c r="CG19" s="34" t="n">
        <v>1</v>
      </c>
      <c r="CH19" s="34" t="n">
        <v>-1</v>
      </c>
      <c r="CI19" s="34" t="n">
        <v>-9.7</v>
      </c>
      <c r="CJ19" s="34" t="n">
        <v>90</v>
      </c>
      <c r="CK19" s="34" t="n">
        <v>6</v>
      </c>
      <c r="CL19" s="34" t="n">
        <v>0.24</v>
      </c>
      <c r="CM19" s="35" t="n">
        <v>0</v>
      </c>
    </row>
    <row r="20" customFormat="false" ht="15" hidden="false" customHeight="false" outlineLevel="0" collapsed="false">
      <c r="A20" s="3" t="s">
        <v>228</v>
      </c>
      <c r="B20" s="34" t="n">
        <v>43</v>
      </c>
      <c r="C20" s="34" t="s">
        <v>210</v>
      </c>
      <c r="D20" s="34" t="s">
        <v>206</v>
      </c>
      <c r="E20" s="34" t="n">
        <v>694</v>
      </c>
      <c r="F20" s="34" t="s">
        <v>211</v>
      </c>
      <c r="G20" s="34" t="s">
        <v>200</v>
      </c>
      <c r="H20" s="34" t="n">
        <v>7</v>
      </c>
      <c r="I20" s="34" t="n">
        <v>7</v>
      </c>
      <c r="J20" s="34" t="n">
        <v>37.7</v>
      </c>
      <c r="K20" s="34" t="n">
        <v>93</v>
      </c>
      <c r="L20" s="34" t="n">
        <v>4.4</v>
      </c>
      <c r="M20" s="34" t="n">
        <v>0.12</v>
      </c>
      <c r="N20" s="34" t="n">
        <v>0.2</v>
      </c>
      <c r="O20" s="34" t="n">
        <v>0.16</v>
      </c>
      <c r="P20" s="34" t="n">
        <v>60</v>
      </c>
      <c r="Q20" s="34" t="n">
        <v>1</v>
      </c>
      <c r="R20" s="34" t="n">
        <v>1.4</v>
      </c>
      <c r="S20" s="34" t="n">
        <v>5</v>
      </c>
      <c r="T20" s="34" t="n">
        <v>199</v>
      </c>
      <c r="U20" s="34" t="n">
        <v>0.71</v>
      </c>
      <c r="V20" s="34" t="n">
        <v>1</v>
      </c>
      <c r="W20" s="34" t="n">
        <v>0</v>
      </c>
      <c r="X20" s="34" t="n">
        <v>160.1</v>
      </c>
      <c r="Y20" s="34" t="n">
        <v>29</v>
      </c>
      <c r="Z20" s="34" t="n">
        <v>0</v>
      </c>
      <c r="AA20" s="34" t="n">
        <v>0.04</v>
      </c>
      <c r="AB20" s="34" t="n">
        <v>0.23</v>
      </c>
      <c r="AC20" s="34" t="n">
        <v>2</v>
      </c>
      <c r="AD20" s="34" t="n">
        <v>69</v>
      </c>
      <c r="AE20" s="34" t="n">
        <v>0</v>
      </c>
      <c r="AF20" s="34" t="n">
        <v>0.71</v>
      </c>
      <c r="AG20" s="34" t="n">
        <v>0</v>
      </c>
      <c r="AH20" s="34" t="n">
        <v>242</v>
      </c>
      <c r="AI20" s="34" t="n">
        <v>293</v>
      </c>
      <c r="AJ20" s="34" t="n">
        <v>1.21</v>
      </c>
      <c r="AK20" s="34" t="n">
        <v>5</v>
      </c>
      <c r="AL20" s="34" t="n">
        <v>0.58</v>
      </c>
      <c r="AM20" s="34" t="n">
        <v>1.6</v>
      </c>
      <c r="AN20" s="34" t="n">
        <v>4.6</v>
      </c>
      <c r="AO20" s="34" t="n">
        <v>1.05</v>
      </c>
      <c r="AP20" s="34" t="n">
        <v>109</v>
      </c>
      <c r="AQ20" s="34" t="n">
        <v>16</v>
      </c>
      <c r="AR20" s="34" t="n">
        <v>0.372</v>
      </c>
      <c r="AS20" s="34" t="n">
        <v>6</v>
      </c>
      <c r="AT20" s="34" t="n">
        <v>0.33</v>
      </c>
      <c r="AU20" s="34" t="n">
        <v>36</v>
      </c>
      <c r="AV20" s="34" t="n">
        <v>1359</v>
      </c>
      <c r="AW20" s="34" t="n">
        <v>0.018</v>
      </c>
      <c r="AX20" s="34" t="n">
        <v>1</v>
      </c>
      <c r="AY20" s="34" t="n">
        <v>0.32</v>
      </c>
      <c r="AZ20" s="34" t="n">
        <v>3.2</v>
      </c>
      <c r="BA20" s="34" t="n">
        <v>1.6</v>
      </c>
      <c r="BB20" s="34" t="n">
        <v>0</v>
      </c>
      <c r="BC20" s="34" t="s">
        <v>200</v>
      </c>
      <c r="BD20" s="34" t="s">
        <v>207</v>
      </c>
      <c r="BE20" s="34" t="n">
        <v>0</v>
      </c>
      <c r="BF20" s="34" t="n">
        <v>0</v>
      </c>
      <c r="BG20" s="34" t="n">
        <v>2</v>
      </c>
      <c r="BH20" s="34" t="n">
        <v>0</v>
      </c>
      <c r="BI20" s="34" t="n">
        <v>0</v>
      </c>
      <c r="BJ20" s="34"/>
      <c r="BK20" s="34" t="n">
        <v>5</v>
      </c>
      <c r="BL20" s="34" t="n">
        <v>0</v>
      </c>
      <c r="BM20" s="34" t="s">
        <v>200</v>
      </c>
      <c r="BN20" s="34" t="n">
        <v>1</v>
      </c>
      <c r="BO20" s="34" t="n">
        <v>0</v>
      </c>
      <c r="BP20" s="34" t="n">
        <v>2</v>
      </c>
      <c r="BQ20" s="34" t="s">
        <v>208</v>
      </c>
      <c r="BR20" s="34" t="s">
        <v>200</v>
      </c>
      <c r="BS20" s="34" t="n">
        <v>0.36</v>
      </c>
      <c r="BT20" s="34" t="n">
        <v>0</v>
      </c>
      <c r="BU20" s="34" t="n">
        <v>0.19</v>
      </c>
      <c r="BV20" s="34" t="n">
        <v>0.7</v>
      </c>
      <c r="BW20" s="34" t="n">
        <v>2</v>
      </c>
      <c r="BX20" s="34" t="n">
        <v>0</v>
      </c>
      <c r="BY20" s="34" t="n">
        <v>0</v>
      </c>
      <c r="BZ20" s="34" t="s">
        <v>200</v>
      </c>
      <c r="CA20" s="34" t="s">
        <v>202</v>
      </c>
      <c r="CB20" s="34"/>
      <c r="CC20" s="34" t="n">
        <v>1.4</v>
      </c>
      <c r="CD20" s="34" t="n">
        <v>0.2</v>
      </c>
      <c r="CE20" s="34" t="n">
        <v>0.63</v>
      </c>
      <c r="CF20" s="34" t="n">
        <v>0</v>
      </c>
      <c r="CG20" s="34" t="n">
        <v>1</v>
      </c>
      <c r="CH20" s="34" t="n">
        <v>13</v>
      </c>
      <c r="CI20" s="34" t="n">
        <v>-0.1</v>
      </c>
      <c r="CJ20" s="34" t="n">
        <v>250</v>
      </c>
      <c r="CK20" s="34" t="n">
        <v>6</v>
      </c>
      <c r="CL20" s="34" t="n">
        <v>0.65</v>
      </c>
      <c r="CM20" s="35" t="n">
        <v>0</v>
      </c>
    </row>
    <row r="21" customFormat="false" ht="15" hidden="false" customHeight="false" outlineLevel="0" collapsed="false">
      <c r="A21" s="3" t="s">
        <v>229</v>
      </c>
      <c r="B21" s="34" t="n">
        <v>27</v>
      </c>
      <c r="C21" s="34" t="s">
        <v>197</v>
      </c>
      <c r="D21" s="34" t="s">
        <v>215</v>
      </c>
      <c r="E21" s="34" t="n">
        <v>1055</v>
      </c>
      <c r="F21" s="34" t="s">
        <v>199</v>
      </c>
      <c r="G21" s="34" t="s">
        <v>200</v>
      </c>
      <c r="H21" s="34" t="n">
        <v>11</v>
      </c>
      <c r="I21" s="34" t="n">
        <v>16</v>
      </c>
      <c r="J21" s="34" t="n">
        <v>42.1</v>
      </c>
      <c r="K21" s="34" t="n">
        <v>83</v>
      </c>
      <c r="L21" s="34" t="n">
        <v>11.2</v>
      </c>
      <c r="M21" s="34" t="n">
        <v>0.11</v>
      </c>
      <c r="N21" s="34" t="n">
        <v>0.32</v>
      </c>
      <c r="O21" s="34" t="n">
        <v>0.21</v>
      </c>
      <c r="P21" s="34" t="n">
        <v>83</v>
      </c>
      <c r="Q21" s="34" t="n">
        <v>5</v>
      </c>
      <c r="R21" s="34" t="n">
        <v>0.7</v>
      </c>
      <c r="S21" s="34" t="n">
        <v>22</v>
      </c>
      <c r="T21" s="34" t="n">
        <v>1636</v>
      </c>
      <c r="U21" s="34" t="n">
        <v>1.38</v>
      </c>
      <c r="V21" s="34" t="n">
        <v>2</v>
      </c>
      <c r="W21" s="34" t="n">
        <v>3</v>
      </c>
      <c r="X21" s="34" t="n">
        <v>35.8</v>
      </c>
      <c r="Y21" s="34" t="n">
        <v>53</v>
      </c>
      <c r="Z21" s="34" t="n">
        <v>1</v>
      </c>
      <c r="AA21" s="34" t="n">
        <v>0.14</v>
      </c>
      <c r="AB21" s="34" t="n">
        <v>0.72</v>
      </c>
      <c r="AC21" s="34" t="n">
        <v>5</v>
      </c>
      <c r="AD21" s="34" t="n">
        <v>13</v>
      </c>
      <c r="AE21" s="34" t="n">
        <v>0</v>
      </c>
      <c r="AF21" s="34" t="n">
        <v>0.45</v>
      </c>
      <c r="AG21" s="34" t="n">
        <v>0</v>
      </c>
      <c r="AH21" s="34" t="n">
        <v>524</v>
      </c>
      <c r="AI21" s="34" t="n">
        <v>1383</v>
      </c>
      <c r="AJ21" s="34" t="n">
        <v>2.64</v>
      </c>
      <c r="AK21" s="34" t="n">
        <v>21</v>
      </c>
      <c r="AL21" s="34" t="n">
        <v>0.76</v>
      </c>
      <c r="AM21" s="34" t="n">
        <v>6.8</v>
      </c>
      <c r="AN21" s="34" t="n">
        <v>6.5</v>
      </c>
      <c r="AO21" s="34" t="n">
        <v>1.34</v>
      </c>
      <c r="AP21" s="34" t="n">
        <v>1147</v>
      </c>
      <c r="AQ21" s="34" t="n">
        <v>104</v>
      </c>
      <c r="AR21" s="34" t="n">
        <v>0.829</v>
      </c>
      <c r="AS21" s="34" t="n">
        <v>59</v>
      </c>
      <c r="AT21" s="34" t="n">
        <v>0.35</v>
      </c>
      <c r="AU21" s="34" t="n">
        <v>522</v>
      </c>
      <c r="AV21" s="34" t="n">
        <v>17428</v>
      </c>
      <c r="AW21" s="34" t="n">
        <v>0.382</v>
      </c>
      <c r="AX21" s="34" t="n">
        <v>1</v>
      </c>
      <c r="AY21" s="34" t="n">
        <v>0.49</v>
      </c>
      <c r="AZ21" s="34" t="n">
        <v>2.2</v>
      </c>
      <c r="BA21" s="34" t="n">
        <v>3</v>
      </c>
      <c r="BB21" s="34" t="n">
        <v>0.41</v>
      </c>
      <c r="BC21" s="34" t="s">
        <v>200</v>
      </c>
      <c r="BD21" s="34" t="s">
        <v>200</v>
      </c>
      <c r="BE21" s="34" t="n">
        <v>1</v>
      </c>
      <c r="BF21" s="34" t="n">
        <v>0</v>
      </c>
      <c r="BG21" s="34" t="n">
        <v>0</v>
      </c>
      <c r="BH21" s="34" t="n">
        <v>0</v>
      </c>
      <c r="BI21" s="34" t="n">
        <v>0</v>
      </c>
      <c r="BJ21" s="34"/>
      <c r="BK21" s="34" t="n">
        <v>3</v>
      </c>
      <c r="BL21" s="34" t="n">
        <v>2</v>
      </c>
      <c r="BM21" s="34" t="s">
        <v>200</v>
      </c>
      <c r="BN21" s="34" t="n">
        <v>3</v>
      </c>
      <c r="BO21" s="34" t="n">
        <v>1</v>
      </c>
      <c r="BP21" s="34" t="n">
        <v>2</v>
      </c>
      <c r="BQ21" s="34" t="s">
        <v>201</v>
      </c>
      <c r="BR21" s="34" t="s">
        <v>200</v>
      </c>
      <c r="BS21" s="34" t="n">
        <v>0.27</v>
      </c>
      <c r="BT21" s="34" t="n">
        <v>0</v>
      </c>
      <c r="BU21" s="34" t="n">
        <v>0.49</v>
      </c>
      <c r="BV21" s="34" t="n">
        <v>0.36</v>
      </c>
      <c r="BW21" s="34" t="n">
        <v>5</v>
      </c>
      <c r="BX21" s="34" t="n">
        <v>0</v>
      </c>
      <c r="BY21" s="34" t="n">
        <v>0</v>
      </c>
      <c r="BZ21" s="34" t="s">
        <v>200</v>
      </c>
      <c r="CA21" s="34" t="s">
        <v>230</v>
      </c>
      <c r="CB21" s="34" t="n">
        <v>10</v>
      </c>
      <c r="CC21" s="34" t="n">
        <v>1.9</v>
      </c>
      <c r="CD21" s="34" t="n">
        <v>0.22</v>
      </c>
      <c r="CE21" s="34" t="n">
        <v>0.87</v>
      </c>
      <c r="CF21" s="34" t="n">
        <v>0</v>
      </c>
      <c r="CG21" s="34" t="n">
        <v>1</v>
      </c>
      <c r="CH21" s="34" t="n">
        <v>3</v>
      </c>
      <c r="CI21" s="34" t="n">
        <v>7.1</v>
      </c>
      <c r="CJ21" s="34" t="n">
        <v>1099</v>
      </c>
      <c r="CK21" s="34" t="n">
        <v>6</v>
      </c>
      <c r="CL21" s="34" t="n">
        <v>0.75</v>
      </c>
      <c r="CM21" s="35" t="n">
        <v>0</v>
      </c>
    </row>
    <row r="22" customFormat="false" ht="15" hidden="false" customHeight="false" outlineLevel="0" collapsed="false">
      <c r="A22" s="3" t="s">
        <v>231</v>
      </c>
      <c r="B22" s="34" t="n">
        <v>53</v>
      </c>
      <c r="C22" s="34" t="s">
        <v>210</v>
      </c>
      <c r="D22" s="34" t="s">
        <v>198</v>
      </c>
      <c r="E22" s="34" t="n">
        <v>1202</v>
      </c>
      <c r="F22" s="34" t="s">
        <v>199</v>
      </c>
      <c r="G22" s="34" t="s">
        <v>200</v>
      </c>
      <c r="H22" s="34" t="n">
        <v>1</v>
      </c>
      <c r="I22" s="34" t="n">
        <v>2</v>
      </c>
      <c r="J22" s="34" t="n">
        <v>56.1</v>
      </c>
      <c r="K22" s="34" t="n">
        <v>93</v>
      </c>
      <c r="L22" s="34" t="n">
        <v>1.9</v>
      </c>
      <c r="M22" s="34" t="n">
        <v>0.01</v>
      </c>
      <c r="N22" s="34" t="n">
        <v>0.42</v>
      </c>
      <c r="O22" s="34" t="n">
        <v>0.2</v>
      </c>
      <c r="P22" s="34" t="n">
        <v>68</v>
      </c>
      <c r="Q22" s="34" t="n">
        <v>1</v>
      </c>
      <c r="R22" s="34" t="n">
        <v>0.6</v>
      </c>
      <c r="S22" s="34" t="n">
        <v>1</v>
      </c>
      <c r="T22" s="34" t="n">
        <v>37</v>
      </c>
      <c r="U22" s="34" t="n">
        <v>0.5</v>
      </c>
      <c r="V22" s="34" t="n">
        <v>1</v>
      </c>
      <c r="W22" s="34" t="n">
        <v>1</v>
      </c>
      <c r="X22" s="34" t="n">
        <v>938.6</v>
      </c>
      <c r="Y22" s="34" t="n">
        <v>16</v>
      </c>
      <c r="Z22" s="34" t="n">
        <v>0</v>
      </c>
      <c r="AA22" s="34" t="n">
        <v>0.05</v>
      </c>
      <c r="AB22" s="34" t="n">
        <v>0.28</v>
      </c>
      <c r="AC22" s="34" t="n">
        <v>5</v>
      </c>
      <c r="AD22" s="34" t="n">
        <v>0</v>
      </c>
      <c r="AE22" s="34" t="n">
        <v>0</v>
      </c>
      <c r="AF22" s="34" t="n">
        <v>0.87</v>
      </c>
      <c r="AG22" s="34" t="n">
        <v>0</v>
      </c>
      <c r="AH22" s="34" t="n">
        <v>10</v>
      </c>
      <c r="AI22" s="34" t="n">
        <v>5</v>
      </c>
      <c r="AJ22" s="34" t="n">
        <v>0.5</v>
      </c>
      <c r="AK22" s="34" t="n">
        <v>4</v>
      </c>
      <c r="AL22" s="34" t="n">
        <v>0.19</v>
      </c>
      <c r="AM22" s="34" t="n">
        <v>-10.9</v>
      </c>
      <c r="AN22" s="34" t="n">
        <v>1.4</v>
      </c>
      <c r="AO22" s="34" t="n">
        <v>0.61</v>
      </c>
      <c r="AP22" s="34" t="n">
        <v>8</v>
      </c>
      <c r="AQ22" s="34" t="n">
        <v>8</v>
      </c>
      <c r="AR22" s="34" t="n">
        <v>1.6</v>
      </c>
      <c r="AS22" s="34" t="n">
        <v>-10</v>
      </c>
      <c r="AT22" s="34" t="n">
        <v>0.01</v>
      </c>
      <c r="AU22" s="34" t="n">
        <v>2</v>
      </c>
      <c r="AV22" s="34" t="n">
        <v>216</v>
      </c>
      <c r="AW22" s="34" t="n">
        <v>0.003</v>
      </c>
      <c r="AX22" s="34" t="n">
        <v>1</v>
      </c>
      <c r="AY22" s="34" t="n">
        <v>0.3</v>
      </c>
      <c r="AZ22" s="34" t="n">
        <v>1</v>
      </c>
      <c r="BA22" s="34" t="n">
        <v>1</v>
      </c>
      <c r="BB22" s="34" t="n">
        <v>0.1</v>
      </c>
      <c r="BC22" s="34" t="s">
        <v>200</v>
      </c>
      <c r="BD22" s="34" t="s">
        <v>200</v>
      </c>
      <c r="BE22" s="34" t="n">
        <v>0</v>
      </c>
      <c r="BF22" s="34" t="n">
        <v>0</v>
      </c>
      <c r="BG22" s="34" t="n">
        <v>1</v>
      </c>
      <c r="BH22" s="34" t="n">
        <v>0</v>
      </c>
      <c r="BI22" s="34" t="n">
        <v>0</v>
      </c>
      <c r="BJ22" s="34"/>
      <c r="BK22" s="34" t="n">
        <v>7.4</v>
      </c>
      <c r="BL22" s="34" t="n">
        <v>0</v>
      </c>
      <c r="BM22" s="34" t="s">
        <v>200</v>
      </c>
      <c r="BN22" s="34" t="n">
        <v>1</v>
      </c>
      <c r="BO22" s="34" t="n">
        <v>0</v>
      </c>
      <c r="BP22" s="34" t="n">
        <v>0</v>
      </c>
      <c r="BQ22" s="34" t="s">
        <v>201</v>
      </c>
      <c r="BR22" s="34" t="s">
        <v>200</v>
      </c>
      <c r="BS22" s="34" t="n">
        <v>0.14</v>
      </c>
      <c r="BT22" s="34" t="n">
        <v>0</v>
      </c>
      <c r="BU22" s="34" t="n">
        <v>0.34</v>
      </c>
      <c r="BV22" s="34" t="n">
        <v>0.33</v>
      </c>
      <c r="BW22" s="34" t="n">
        <v>1</v>
      </c>
      <c r="BX22" s="34" t="n">
        <v>0</v>
      </c>
      <c r="BY22" s="34" t="n">
        <v>0</v>
      </c>
      <c r="BZ22" s="34" t="s">
        <v>200</v>
      </c>
      <c r="CA22" s="34" t="s">
        <v>202</v>
      </c>
      <c r="CB22" s="34" t="n">
        <v>0</v>
      </c>
      <c r="CC22" s="34" t="n">
        <v>1.2</v>
      </c>
      <c r="CD22" s="34" t="n">
        <v>0</v>
      </c>
      <c r="CE22" s="34" t="n">
        <v>0.4</v>
      </c>
      <c r="CF22" s="34" t="n">
        <v>0</v>
      </c>
      <c r="CG22" s="34" t="n">
        <v>1</v>
      </c>
      <c r="CH22" s="34" t="n">
        <v>-17</v>
      </c>
      <c r="CI22" s="34" t="n">
        <v>-8.8</v>
      </c>
      <c r="CJ22" s="34" t="n">
        <v>2</v>
      </c>
      <c r="CK22" s="34" t="n">
        <v>6</v>
      </c>
      <c r="CL22" s="34" t="n">
        <v>0.2</v>
      </c>
      <c r="CM22" s="35" t="n">
        <v>0</v>
      </c>
    </row>
    <row r="23" customFormat="false" ht="15" hidden="false" customHeight="false" outlineLevel="0" collapsed="false">
      <c r="A23" s="3" t="s">
        <v>232</v>
      </c>
      <c r="B23" s="34" t="n">
        <v>36</v>
      </c>
      <c r="C23" s="34" t="s">
        <v>210</v>
      </c>
      <c r="D23" s="34" t="s">
        <v>227</v>
      </c>
      <c r="E23" s="34" t="n">
        <v>967</v>
      </c>
      <c r="F23" s="34" t="s">
        <v>223</v>
      </c>
      <c r="G23" s="34" t="s">
        <v>200</v>
      </c>
      <c r="H23" s="34" t="n">
        <v>6</v>
      </c>
      <c r="I23" s="34" t="n">
        <v>8</v>
      </c>
      <c r="J23" s="34" t="n">
        <v>44.4</v>
      </c>
      <c r="K23" s="34" t="n">
        <v>82</v>
      </c>
      <c r="L23" s="34" t="n">
        <v>5.9</v>
      </c>
      <c r="M23" s="34" t="n">
        <v>0.09</v>
      </c>
      <c r="N23" s="34" t="n">
        <v>0.25</v>
      </c>
      <c r="O23" s="34" t="n">
        <v>0.04</v>
      </c>
      <c r="P23" s="34" t="n">
        <v>43</v>
      </c>
      <c r="Q23" s="34" t="n">
        <v>1</v>
      </c>
      <c r="R23" s="34" t="n">
        <v>1.4</v>
      </c>
      <c r="S23" s="34" t="n">
        <v>2</v>
      </c>
      <c r="T23" s="34" t="n">
        <v>95</v>
      </c>
      <c r="U23" s="34" t="n">
        <v>0.25</v>
      </c>
      <c r="V23" s="34" t="n">
        <v>1</v>
      </c>
      <c r="W23" s="34" t="n">
        <v>0</v>
      </c>
      <c r="X23" s="34" t="n">
        <v>395.1</v>
      </c>
      <c r="Y23" s="34" t="n">
        <v>-35</v>
      </c>
      <c r="Z23" s="34" t="n">
        <v>1</v>
      </c>
      <c r="AA23" s="34" t="n">
        <v>0.09</v>
      </c>
      <c r="AB23" s="34" t="n">
        <v>0.19</v>
      </c>
      <c r="AC23" s="34" t="n">
        <v>4</v>
      </c>
      <c r="AD23" s="34" t="n">
        <v>44</v>
      </c>
      <c r="AE23" s="34" t="n">
        <v>0</v>
      </c>
      <c r="AF23" s="34" t="n">
        <v>0.44</v>
      </c>
      <c r="AG23" s="34" t="n">
        <v>1</v>
      </c>
      <c r="AH23" s="34" t="n">
        <v>339</v>
      </c>
      <c r="AI23" s="34" t="n">
        <v>723</v>
      </c>
      <c r="AJ23" s="34" t="n">
        <v>2.13</v>
      </c>
      <c r="AK23" s="34" t="n">
        <v>13</v>
      </c>
      <c r="AL23" s="34" t="n">
        <v>0.44</v>
      </c>
      <c r="AM23" s="34" t="n">
        <v>-3.8</v>
      </c>
      <c r="AN23" s="34" t="n">
        <v>2.4</v>
      </c>
      <c r="AO23" s="34" t="n">
        <v>0.73</v>
      </c>
      <c r="AP23" s="34" t="n">
        <v>62</v>
      </c>
      <c r="AQ23" s="34" t="n">
        <v>10</v>
      </c>
      <c r="AR23" s="34" t="n">
        <v>0.086</v>
      </c>
      <c r="AS23" s="34" t="n">
        <v>-13</v>
      </c>
      <c r="AT23" s="34" t="n">
        <v>0.14</v>
      </c>
      <c r="AU23" s="34" t="n">
        <v>26</v>
      </c>
      <c r="AV23" s="34" t="n">
        <v>715</v>
      </c>
      <c r="AW23" s="34" t="n">
        <v>0.041</v>
      </c>
      <c r="AX23" s="34" t="n">
        <v>1</v>
      </c>
      <c r="AY23" s="34" t="n">
        <v>0.21</v>
      </c>
      <c r="AZ23" s="34" t="n">
        <v>2.9</v>
      </c>
      <c r="BA23" s="34" t="n">
        <v>1.4</v>
      </c>
      <c r="BB23" s="34" t="n">
        <v>0.13</v>
      </c>
      <c r="BC23" s="34" t="s">
        <v>200</v>
      </c>
      <c r="BD23" s="34" t="s">
        <v>200</v>
      </c>
      <c r="BE23" s="34" t="n">
        <v>0</v>
      </c>
      <c r="BF23" s="34" t="n">
        <v>0</v>
      </c>
      <c r="BG23" s="34" t="n">
        <v>0</v>
      </c>
      <c r="BH23" s="34" t="n">
        <v>0</v>
      </c>
      <c r="BI23" s="34" t="n">
        <v>0</v>
      </c>
      <c r="BJ23" s="34"/>
      <c r="BK23" s="34" t="n">
        <v>6.2</v>
      </c>
      <c r="BL23" s="34" t="n">
        <v>0</v>
      </c>
      <c r="BM23" s="34" t="s">
        <v>200</v>
      </c>
      <c r="BN23" s="34" t="n">
        <v>2</v>
      </c>
      <c r="BO23" s="34" t="n">
        <v>0</v>
      </c>
      <c r="BP23" s="34" t="n">
        <v>0</v>
      </c>
      <c r="BQ23" s="34" t="s">
        <v>208</v>
      </c>
      <c r="BR23" s="34" t="s">
        <v>200</v>
      </c>
      <c r="BS23" s="34" t="n">
        <v>0</v>
      </c>
      <c r="BT23" s="34" t="n">
        <v>0</v>
      </c>
      <c r="BU23" s="34" t="n">
        <v>0.03</v>
      </c>
      <c r="BV23" s="34" t="n">
        <v>0.36</v>
      </c>
      <c r="BW23" s="34" t="n">
        <v>0</v>
      </c>
      <c r="BX23" s="34" t="n">
        <v>0</v>
      </c>
      <c r="BY23" s="34" t="n">
        <v>0</v>
      </c>
      <c r="BZ23" s="34" t="s">
        <v>200</v>
      </c>
      <c r="CA23" s="34" t="s">
        <v>204</v>
      </c>
      <c r="CB23" s="34"/>
      <c r="CC23" s="34" t="n">
        <v>1.2</v>
      </c>
      <c r="CD23" s="34" t="n">
        <v>0.05</v>
      </c>
      <c r="CE23" s="34" t="n">
        <v>0.64</v>
      </c>
      <c r="CF23" s="34" t="n">
        <v>1</v>
      </c>
      <c r="CG23" s="34" t="n">
        <v>1</v>
      </c>
      <c r="CH23" s="34" t="n">
        <v>-34</v>
      </c>
      <c r="CI23" s="34" t="n">
        <v>-1.6</v>
      </c>
      <c r="CJ23" s="34" t="n">
        <v>447</v>
      </c>
      <c r="CK23" s="34" t="n">
        <v>6</v>
      </c>
      <c r="CL23" s="34" t="n">
        <v>0.39</v>
      </c>
      <c r="CM23" s="35" t="n">
        <v>1</v>
      </c>
    </row>
    <row r="24" customFormat="false" ht="15" hidden="false" customHeight="false" outlineLevel="0" collapsed="false">
      <c r="A24" s="3" t="s">
        <v>233</v>
      </c>
      <c r="B24" s="34" t="n">
        <v>63</v>
      </c>
      <c r="C24" s="34" t="s">
        <v>197</v>
      </c>
      <c r="D24" s="34" t="s">
        <v>215</v>
      </c>
      <c r="E24" s="34" t="n">
        <v>1230</v>
      </c>
      <c r="F24" s="34" t="s">
        <v>199</v>
      </c>
      <c r="G24" s="34" t="s">
        <v>200</v>
      </c>
      <c r="H24" s="34" t="n">
        <v>1</v>
      </c>
      <c r="I24" s="34" t="n">
        <v>1</v>
      </c>
      <c r="J24" s="34" t="n">
        <v>71.8</v>
      </c>
      <c r="K24" s="34" t="n">
        <v>172</v>
      </c>
      <c r="L24" s="34" t="n">
        <v>1.2</v>
      </c>
      <c r="M24" s="34" t="n">
        <v>0.13</v>
      </c>
      <c r="N24" s="34" t="n">
        <v>0.19</v>
      </c>
      <c r="O24" s="34" t="n">
        <v>0.01</v>
      </c>
      <c r="P24" s="34" t="n">
        <v>172</v>
      </c>
      <c r="Q24" s="34" t="n">
        <v>1</v>
      </c>
      <c r="R24" s="34" t="n">
        <v>0.1</v>
      </c>
      <c r="S24" s="34" t="n">
        <v>1</v>
      </c>
      <c r="T24" s="34" t="n">
        <v>22</v>
      </c>
      <c r="U24" s="34" t="n">
        <v>1</v>
      </c>
      <c r="V24" s="34" t="n">
        <v>1</v>
      </c>
      <c r="W24" s="34" t="n">
        <v>1</v>
      </c>
      <c r="X24" s="34" t="n">
        <v>843.4</v>
      </c>
      <c r="Y24" s="34" t="n">
        <v>-12</v>
      </c>
      <c r="Z24" s="34" t="n">
        <v>2</v>
      </c>
      <c r="AA24" s="34" t="n">
        <v>0.22</v>
      </c>
      <c r="AB24" s="34" t="n">
        <v>0.25</v>
      </c>
      <c r="AC24" s="34" t="n">
        <v>5</v>
      </c>
      <c r="AD24" s="34" t="n">
        <v>41</v>
      </c>
      <c r="AE24" s="34" t="n">
        <v>0</v>
      </c>
      <c r="AF24" s="34" t="n">
        <v>0.97</v>
      </c>
      <c r="AG24" s="34" t="n">
        <v>1</v>
      </c>
      <c r="AH24" s="34" t="n">
        <v>9</v>
      </c>
      <c r="AI24" s="34" t="n">
        <v>6</v>
      </c>
      <c r="AJ24" s="34" t="n">
        <v>0.67</v>
      </c>
      <c r="AK24" s="34" t="n">
        <v>2</v>
      </c>
      <c r="AL24" s="34" t="n">
        <v>0.1</v>
      </c>
      <c r="AM24" s="34" t="n">
        <v>-8.6</v>
      </c>
      <c r="AN24" s="34" t="n">
        <v>2.6</v>
      </c>
      <c r="AO24" s="34" t="n">
        <v>0.5</v>
      </c>
      <c r="AP24" s="34" t="n">
        <v>5</v>
      </c>
      <c r="AQ24" s="34" t="n">
        <v>5</v>
      </c>
      <c r="AR24" s="34" t="n">
        <v>0.833</v>
      </c>
      <c r="AS24" s="34" t="n">
        <v>-80</v>
      </c>
      <c r="AT24" s="34" t="n">
        <v>0</v>
      </c>
      <c r="AU24" s="34" t="n">
        <v>0</v>
      </c>
      <c r="AV24" s="34" t="n">
        <v>50</v>
      </c>
      <c r="AW24" s="34" t="n">
        <v>0.002</v>
      </c>
      <c r="AX24" s="34" t="n">
        <v>1</v>
      </c>
      <c r="AY24" s="34" t="n">
        <v>0</v>
      </c>
      <c r="AZ24" s="34" t="n">
        <v>1.8</v>
      </c>
      <c r="BA24" s="34" t="n">
        <v>1.1</v>
      </c>
      <c r="BB24" s="34" t="n">
        <v>0.08</v>
      </c>
      <c r="BC24" s="34" t="s">
        <v>200</v>
      </c>
      <c r="BD24" s="34" t="s">
        <v>200</v>
      </c>
      <c r="BE24" s="34" t="n">
        <v>0</v>
      </c>
      <c r="BF24" s="34" t="n">
        <v>0</v>
      </c>
      <c r="BG24" s="34" t="n">
        <v>0</v>
      </c>
      <c r="BH24" s="34" t="n">
        <v>0</v>
      </c>
      <c r="BI24" s="34" t="n">
        <v>0</v>
      </c>
      <c r="BJ24" s="34"/>
      <c r="BK24" s="34" t="n">
        <v>7.6</v>
      </c>
      <c r="BL24" s="34" t="n">
        <v>1</v>
      </c>
      <c r="BM24" s="34" t="s">
        <v>200</v>
      </c>
      <c r="BN24" s="34" t="n">
        <v>1</v>
      </c>
      <c r="BO24" s="34" t="n">
        <v>0</v>
      </c>
      <c r="BP24" s="34" t="n">
        <v>0</v>
      </c>
      <c r="BQ24" s="34" t="s">
        <v>201</v>
      </c>
      <c r="BR24" s="34" t="s">
        <v>200</v>
      </c>
      <c r="BS24" s="34" t="n">
        <v>0.02</v>
      </c>
      <c r="BT24" s="34" t="n">
        <v>0</v>
      </c>
      <c r="BU24" s="34" t="n">
        <v>0.01</v>
      </c>
      <c r="BV24" s="34" t="n">
        <v>0.01</v>
      </c>
      <c r="BW24" s="34" t="n">
        <v>1</v>
      </c>
      <c r="BX24" s="34" t="n">
        <v>1</v>
      </c>
      <c r="BY24" s="34" t="n">
        <v>0</v>
      </c>
      <c r="BZ24" s="34" t="s">
        <v>200</v>
      </c>
      <c r="CA24" s="34" t="s">
        <v>202</v>
      </c>
      <c r="CB24" s="34" t="n">
        <v>0</v>
      </c>
      <c r="CC24" s="34" t="n">
        <v>0</v>
      </c>
      <c r="CD24" s="34" t="n">
        <v>0.08</v>
      </c>
      <c r="CE24" s="34" t="n">
        <v>0.68</v>
      </c>
      <c r="CF24" s="34" t="n">
        <v>0</v>
      </c>
      <c r="CG24" s="34" t="n">
        <v>1</v>
      </c>
      <c r="CH24" s="34" t="n">
        <v>-42</v>
      </c>
      <c r="CI24" s="34" t="n">
        <v>-11.1</v>
      </c>
      <c r="CJ24" s="34" t="n">
        <v>2</v>
      </c>
      <c r="CK24" s="34" t="n">
        <v>6</v>
      </c>
      <c r="CL24" s="34" t="n">
        <v>0.05</v>
      </c>
      <c r="CM24" s="35" t="n">
        <v>0</v>
      </c>
    </row>
    <row r="25" customFormat="false" ht="15" hidden="false" customHeight="false" outlineLevel="0" collapsed="false">
      <c r="A25" s="3" t="s">
        <v>234</v>
      </c>
      <c r="B25" s="34" t="n">
        <v>52</v>
      </c>
      <c r="C25" s="34" t="s">
        <v>210</v>
      </c>
      <c r="D25" s="34" t="s">
        <v>198</v>
      </c>
      <c r="E25" s="34" t="n">
        <v>1426</v>
      </c>
      <c r="F25" s="34" t="s">
        <v>211</v>
      </c>
      <c r="G25" s="34" t="s">
        <v>200</v>
      </c>
      <c r="H25" s="34" t="n">
        <v>1</v>
      </c>
      <c r="I25" s="34" t="n">
        <v>1</v>
      </c>
      <c r="J25" s="34" t="n">
        <v>31.5</v>
      </c>
      <c r="K25" s="34" t="n">
        <v>53</v>
      </c>
      <c r="L25" s="34" t="n">
        <v>0.5</v>
      </c>
      <c r="M25" s="34" t="n">
        <v>0</v>
      </c>
      <c r="N25" s="34" t="n">
        <v>0.5</v>
      </c>
      <c r="O25" s="34" t="n">
        <v>0.14</v>
      </c>
      <c r="P25" s="34" t="n">
        <v>51</v>
      </c>
      <c r="Q25" s="34" t="n">
        <v>1</v>
      </c>
      <c r="R25" s="34" t="n">
        <v>0.1</v>
      </c>
      <c r="S25" s="34" t="n">
        <v>1</v>
      </c>
      <c r="T25" s="34" t="n">
        <v>29</v>
      </c>
      <c r="U25" s="34" t="n">
        <v>1</v>
      </c>
      <c r="V25" s="34" t="n">
        <v>1</v>
      </c>
      <c r="W25" s="34" t="n">
        <v>1</v>
      </c>
      <c r="X25" s="34" t="n">
        <v>801.2</v>
      </c>
      <c r="Y25" s="34" t="n">
        <v>-40</v>
      </c>
      <c r="Z25" s="34" t="n">
        <v>0</v>
      </c>
      <c r="AA25" s="34" t="n">
        <v>0.09</v>
      </c>
      <c r="AB25" s="34" t="n">
        <v>0.08</v>
      </c>
      <c r="AC25" s="34" t="n">
        <v>6</v>
      </c>
      <c r="AD25" s="34" t="n">
        <v>47</v>
      </c>
      <c r="AE25" s="34" t="n">
        <v>0</v>
      </c>
      <c r="AF25" s="34" t="n">
        <v>0.64</v>
      </c>
      <c r="AG25" s="34" t="n">
        <v>0</v>
      </c>
      <c r="AH25" s="34" t="n">
        <v>38</v>
      </c>
      <c r="AI25" s="34" t="n">
        <v>17</v>
      </c>
      <c r="AJ25" s="34" t="n">
        <v>0.45</v>
      </c>
      <c r="AK25" s="34" t="n">
        <v>3</v>
      </c>
      <c r="AL25" s="34" t="n">
        <v>0.33</v>
      </c>
      <c r="AM25" s="34" t="n">
        <v>-10.8</v>
      </c>
      <c r="AN25" s="34" t="n">
        <v>1.2</v>
      </c>
      <c r="AO25" s="34" t="n">
        <v>0.71</v>
      </c>
      <c r="AP25" s="34" t="n">
        <v>12</v>
      </c>
      <c r="AQ25" s="34" t="n">
        <v>12</v>
      </c>
      <c r="AR25" s="34" t="n">
        <v>0.706</v>
      </c>
      <c r="AS25" s="34" t="n">
        <v>-9</v>
      </c>
      <c r="AT25" s="34" t="n">
        <v>0.05</v>
      </c>
      <c r="AU25" s="34" t="n">
        <v>1</v>
      </c>
      <c r="AV25" s="34" t="n">
        <v>228</v>
      </c>
      <c r="AW25" s="34" t="n">
        <v>0.002</v>
      </c>
      <c r="AX25" s="34" t="n">
        <v>1</v>
      </c>
      <c r="AY25" s="34" t="n">
        <v>0.51</v>
      </c>
      <c r="AZ25" s="34" t="n">
        <v>2.2</v>
      </c>
      <c r="BA25" s="34" t="n">
        <v>4.8</v>
      </c>
      <c r="BB25" s="34" t="n">
        <v>0.14</v>
      </c>
      <c r="BC25" s="34" t="s">
        <v>200</v>
      </c>
      <c r="BD25" s="34" t="s">
        <v>207</v>
      </c>
      <c r="BE25" s="34" t="n">
        <v>0</v>
      </c>
      <c r="BF25" s="34" t="n">
        <v>0</v>
      </c>
      <c r="BG25" s="34" t="n">
        <v>0</v>
      </c>
      <c r="BH25" s="34" t="n">
        <v>0</v>
      </c>
      <c r="BI25" s="34" t="n">
        <v>0</v>
      </c>
      <c r="BJ25" s="34"/>
      <c r="BK25" s="34" t="n">
        <v>5</v>
      </c>
      <c r="BL25" s="34" t="n">
        <v>0</v>
      </c>
      <c r="BM25" s="34" t="s">
        <v>200</v>
      </c>
      <c r="BN25" s="34" t="n">
        <v>1</v>
      </c>
      <c r="BO25" s="34" t="n">
        <v>1</v>
      </c>
      <c r="BP25" s="34" t="n">
        <v>1</v>
      </c>
      <c r="BQ25" s="34" t="s">
        <v>201</v>
      </c>
      <c r="BR25" s="34" t="s">
        <v>200</v>
      </c>
      <c r="BS25" s="34" t="n">
        <v>0.27</v>
      </c>
      <c r="BT25" s="34" t="n">
        <v>0</v>
      </c>
      <c r="BU25" s="34" t="n">
        <v>0</v>
      </c>
      <c r="BV25" s="34" t="n">
        <v>0.18</v>
      </c>
      <c r="BW25" s="34" t="n">
        <v>0</v>
      </c>
      <c r="BX25" s="34" t="n">
        <v>0</v>
      </c>
      <c r="BY25" s="34" t="n">
        <v>0</v>
      </c>
      <c r="BZ25" s="34" t="s">
        <v>200</v>
      </c>
      <c r="CA25" s="34" t="s">
        <v>202</v>
      </c>
      <c r="CB25" s="34" t="n">
        <v>0</v>
      </c>
      <c r="CC25" s="34" t="n">
        <v>1.6</v>
      </c>
      <c r="CD25" s="34" t="n">
        <v>0.19</v>
      </c>
      <c r="CE25" s="34" t="n">
        <v>0.65</v>
      </c>
      <c r="CF25" s="34" t="n">
        <v>0</v>
      </c>
      <c r="CG25" s="34" t="n">
        <v>1</v>
      </c>
      <c r="CH25" s="34" t="n">
        <v>-27</v>
      </c>
      <c r="CI25" s="34" t="n">
        <v>-3.7</v>
      </c>
      <c r="CJ25" s="34" t="n">
        <v>11</v>
      </c>
      <c r="CK25" s="34" t="n">
        <v>6</v>
      </c>
      <c r="CL25" s="34" t="n">
        <v>0.05</v>
      </c>
      <c r="CM25" s="35" t="n">
        <v>0</v>
      </c>
    </row>
    <row r="26" customFormat="false" ht="15" hidden="false" customHeight="false" outlineLevel="0" collapsed="false">
      <c r="A26" s="3" t="s">
        <v>235</v>
      </c>
      <c r="B26" s="34" t="n">
        <v>54</v>
      </c>
      <c r="C26" s="34" t="s">
        <v>210</v>
      </c>
      <c r="D26" s="34" t="s">
        <v>217</v>
      </c>
      <c r="E26" s="34" t="n">
        <v>331</v>
      </c>
      <c r="F26" s="34" t="s">
        <v>211</v>
      </c>
      <c r="G26" s="34" t="s">
        <v>200</v>
      </c>
      <c r="H26" s="34" t="n">
        <v>10</v>
      </c>
      <c r="I26" s="34" t="n">
        <v>11</v>
      </c>
      <c r="J26" s="34" t="n">
        <v>53.9</v>
      </c>
      <c r="K26" s="34" t="n">
        <v>93</v>
      </c>
      <c r="L26" s="34" t="n">
        <v>9.9</v>
      </c>
      <c r="M26" s="34" t="n">
        <v>0</v>
      </c>
      <c r="N26" s="34" t="n">
        <v>0.25</v>
      </c>
      <c r="O26" s="34" t="n">
        <v>0.04</v>
      </c>
      <c r="P26" s="34" t="n">
        <v>65</v>
      </c>
      <c r="Q26" s="34" t="n">
        <v>1</v>
      </c>
      <c r="R26" s="34" t="n">
        <v>0.2</v>
      </c>
      <c r="S26" s="34" t="n">
        <v>12</v>
      </c>
      <c r="T26" s="34" t="n">
        <v>204</v>
      </c>
      <c r="U26" s="34" t="n">
        <v>1.09</v>
      </c>
      <c r="V26" s="34" t="n">
        <v>2</v>
      </c>
      <c r="W26" s="34" t="n">
        <v>0</v>
      </c>
      <c r="X26" s="34" t="n">
        <v>81.5</v>
      </c>
      <c r="Y26" s="34" t="n">
        <v>-68</v>
      </c>
      <c r="Z26" s="34" t="n">
        <v>0</v>
      </c>
      <c r="AA26" s="34" t="n">
        <v>0</v>
      </c>
      <c r="AB26" s="34" t="n">
        <v>0</v>
      </c>
      <c r="AC26" s="34" t="n">
        <v>6</v>
      </c>
      <c r="AD26" s="34" t="n">
        <v>67</v>
      </c>
      <c r="AE26" s="34" t="n">
        <v>0</v>
      </c>
      <c r="AF26" s="34" t="n">
        <v>1.01</v>
      </c>
      <c r="AG26" s="34" t="n">
        <v>0</v>
      </c>
      <c r="AH26" s="34" t="n">
        <v>55</v>
      </c>
      <c r="AI26" s="34" t="n">
        <v>48</v>
      </c>
      <c r="AJ26" s="34" t="n">
        <v>0.87</v>
      </c>
      <c r="AK26" s="34" t="n">
        <v>5</v>
      </c>
      <c r="AL26" s="34" t="n">
        <v>0.1</v>
      </c>
      <c r="AM26" s="34" t="n">
        <v>-15.3</v>
      </c>
      <c r="AN26" s="34" t="n">
        <v>3.3</v>
      </c>
      <c r="AO26" s="34" t="n">
        <v>0.5</v>
      </c>
      <c r="AP26" s="34" t="n">
        <v>12</v>
      </c>
      <c r="AQ26" s="34" t="n">
        <v>1</v>
      </c>
      <c r="AR26" s="34" t="n">
        <v>0.25</v>
      </c>
      <c r="AS26" s="34" t="n">
        <v>-22</v>
      </c>
      <c r="AT26" s="34" t="n">
        <v>0</v>
      </c>
      <c r="AU26" s="34" t="n">
        <v>2</v>
      </c>
      <c r="AV26" s="34" t="n">
        <v>67</v>
      </c>
      <c r="AW26" s="34" t="n">
        <v>0.002</v>
      </c>
      <c r="AX26" s="34" t="n">
        <v>1</v>
      </c>
      <c r="AY26" s="34" t="n">
        <v>0.06</v>
      </c>
      <c r="AZ26" s="34" t="n">
        <v>1.5</v>
      </c>
      <c r="BA26" s="34" t="n">
        <v>1</v>
      </c>
      <c r="BB26" s="34" t="n">
        <v>0.19</v>
      </c>
      <c r="BC26" s="34" t="s">
        <v>207</v>
      </c>
      <c r="BD26" s="34" t="s">
        <v>200</v>
      </c>
      <c r="BE26" s="34" t="n">
        <v>0</v>
      </c>
      <c r="BF26" s="34" t="n">
        <v>0</v>
      </c>
      <c r="BG26" s="34" t="n">
        <v>0</v>
      </c>
      <c r="BH26" s="34" t="n">
        <v>0</v>
      </c>
      <c r="BI26" s="34" t="n">
        <v>0</v>
      </c>
      <c r="BJ26" s="34"/>
      <c r="BK26" s="34" t="n">
        <v>8.1</v>
      </c>
      <c r="BL26" s="34" t="n">
        <v>0</v>
      </c>
      <c r="BM26" s="34" t="s">
        <v>200</v>
      </c>
      <c r="BN26" s="34" t="n">
        <v>1</v>
      </c>
      <c r="BO26" s="34" t="n">
        <v>0</v>
      </c>
      <c r="BP26" s="34" t="n">
        <v>0</v>
      </c>
      <c r="BQ26" s="34" t="s">
        <v>208</v>
      </c>
      <c r="BR26" s="34" t="s">
        <v>200</v>
      </c>
      <c r="BS26" s="34" t="n">
        <v>0.31</v>
      </c>
      <c r="BT26" s="34" t="n">
        <v>0</v>
      </c>
      <c r="BU26" s="34" t="n">
        <v>0</v>
      </c>
      <c r="BV26" s="34" t="n">
        <v>0.26</v>
      </c>
      <c r="BW26" s="34" t="n">
        <v>0</v>
      </c>
      <c r="BX26" s="34" t="n">
        <v>0</v>
      </c>
      <c r="BY26" s="34" t="n">
        <v>0</v>
      </c>
      <c r="BZ26" s="34" t="s">
        <v>200</v>
      </c>
      <c r="CA26" s="34" t="s">
        <v>202</v>
      </c>
      <c r="CB26" s="34"/>
      <c r="CC26" s="34" t="n">
        <v>0.5</v>
      </c>
      <c r="CD26" s="34" t="n">
        <v>0</v>
      </c>
      <c r="CE26" s="34" t="n">
        <v>0.38</v>
      </c>
      <c r="CF26" s="34" t="n">
        <v>0</v>
      </c>
      <c r="CG26" s="34" t="n">
        <v>1</v>
      </c>
      <c r="CH26" s="34" t="n">
        <v>-59</v>
      </c>
      <c r="CI26" s="34" t="n">
        <v>-4.8</v>
      </c>
      <c r="CJ26" s="34" t="n">
        <v>20</v>
      </c>
      <c r="CK26" s="34" t="n">
        <v>6</v>
      </c>
      <c r="CL26" s="34" t="n">
        <v>0.05</v>
      </c>
      <c r="CM26" s="35" t="n">
        <v>0</v>
      </c>
    </row>
    <row r="27" customFormat="false" ht="15" hidden="false" customHeight="false" outlineLevel="0" collapsed="false">
      <c r="A27" s="3" t="s">
        <v>236</v>
      </c>
      <c r="B27" s="34" t="n">
        <v>38</v>
      </c>
      <c r="C27" s="34" t="s">
        <v>210</v>
      </c>
      <c r="D27" s="34" t="s">
        <v>227</v>
      </c>
      <c r="E27" s="34" t="n">
        <v>653</v>
      </c>
      <c r="F27" s="34" t="s">
        <v>211</v>
      </c>
      <c r="G27" s="34" t="s">
        <v>200</v>
      </c>
      <c r="H27" s="34" t="n">
        <v>7</v>
      </c>
      <c r="I27" s="34" t="n">
        <v>8</v>
      </c>
      <c r="J27" s="34" t="n">
        <v>32.4</v>
      </c>
      <c r="K27" s="34" t="n">
        <v>76</v>
      </c>
      <c r="L27" s="34" t="n">
        <v>4.3</v>
      </c>
      <c r="M27" s="34" t="n">
        <v>0.09</v>
      </c>
      <c r="N27" s="34" t="n">
        <v>0.18</v>
      </c>
      <c r="O27" s="34" t="n">
        <v>0.12</v>
      </c>
      <c r="P27" s="34" t="n">
        <v>62</v>
      </c>
      <c r="Q27" s="34" t="n">
        <v>5</v>
      </c>
      <c r="R27" s="34" t="n">
        <v>2.2</v>
      </c>
      <c r="S27" s="34" t="n">
        <v>8</v>
      </c>
      <c r="T27" s="34" t="n">
        <v>328</v>
      </c>
      <c r="U27" s="34" t="n">
        <v>1</v>
      </c>
      <c r="V27" s="34" t="n">
        <v>2</v>
      </c>
      <c r="W27" s="34" t="n">
        <v>1</v>
      </c>
      <c r="X27" s="34" t="n">
        <v>55.8</v>
      </c>
      <c r="Y27" s="34" t="n">
        <v>6</v>
      </c>
      <c r="Z27" s="34" t="n">
        <v>0</v>
      </c>
      <c r="AA27" s="34" t="n">
        <v>0.14</v>
      </c>
      <c r="AB27" s="34" t="n">
        <v>0.38</v>
      </c>
      <c r="AC27" s="34" t="n">
        <v>4</v>
      </c>
      <c r="AD27" s="34" t="n">
        <v>13</v>
      </c>
      <c r="AE27" s="34" t="n">
        <v>0</v>
      </c>
      <c r="AF27" s="34" t="n">
        <v>0.7</v>
      </c>
      <c r="AG27" s="34" t="n">
        <v>0</v>
      </c>
      <c r="AH27" s="34" t="n">
        <v>386</v>
      </c>
      <c r="AI27" s="34" t="n">
        <v>345</v>
      </c>
      <c r="AJ27" s="34" t="n">
        <v>0.89</v>
      </c>
      <c r="AK27" s="34" t="n">
        <v>6</v>
      </c>
      <c r="AL27" s="34" t="n">
        <v>0.5</v>
      </c>
      <c r="AM27" s="34" t="n">
        <v>-1.1</v>
      </c>
      <c r="AN27" s="34" t="n">
        <v>3.7</v>
      </c>
      <c r="AO27" s="34" t="n">
        <v>0.99</v>
      </c>
      <c r="AP27" s="34" t="n">
        <v>155</v>
      </c>
      <c r="AQ27" s="34" t="n">
        <v>22</v>
      </c>
      <c r="AR27" s="34" t="n">
        <v>0.449</v>
      </c>
      <c r="AS27" s="34" t="n">
        <v>-24</v>
      </c>
      <c r="AT27" s="34" t="n">
        <v>0.07</v>
      </c>
      <c r="AU27" s="34" t="n">
        <v>39</v>
      </c>
      <c r="AV27" s="34" t="n">
        <v>1057</v>
      </c>
      <c r="AW27" s="34" t="n">
        <v>0.026</v>
      </c>
      <c r="AX27" s="34" t="n">
        <v>1</v>
      </c>
      <c r="AY27" s="34" t="n">
        <v>0.34</v>
      </c>
      <c r="AZ27" s="34" t="n">
        <v>2.5</v>
      </c>
      <c r="BA27" s="34" t="n">
        <v>1.8</v>
      </c>
      <c r="BB27" s="34" t="n">
        <v>0.11</v>
      </c>
      <c r="BC27" s="34" t="s">
        <v>200</v>
      </c>
      <c r="BD27" s="34" t="s">
        <v>207</v>
      </c>
      <c r="BE27" s="34" t="n">
        <v>0</v>
      </c>
      <c r="BF27" s="34" t="n">
        <v>0</v>
      </c>
      <c r="BG27" s="34" t="n">
        <v>0</v>
      </c>
      <c r="BH27" s="34" t="n">
        <v>0</v>
      </c>
      <c r="BI27" s="34" t="n">
        <v>0</v>
      </c>
      <c r="BJ27" s="34"/>
      <c r="BK27" s="34" t="n">
        <v>7.5</v>
      </c>
      <c r="BL27" s="34" t="n">
        <v>1</v>
      </c>
      <c r="BM27" s="34" t="s">
        <v>200</v>
      </c>
      <c r="BN27" s="34" t="n">
        <v>1</v>
      </c>
      <c r="BO27" s="34" t="n">
        <v>0</v>
      </c>
      <c r="BP27" s="34" t="n">
        <v>1</v>
      </c>
      <c r="BQ27" s="34" t="s">
        <v>212</v>
      </c>
      <c r="BR27" s="34" t="s">
        <v>200</v>
      </c>
      <c r="BS27" s="34" t="n">
        <v>0.24</v>
      </c>
      <c r="BT27" s="34" t="n">
        <v>0</v>
      </c>
      <c r="BU27" s="34" t="n">
        <v>0.12</v>
      </c>
      <c r="BV27" s="34" t="n">
        <v>0.25</v>
      </c>
      <c r="BW27" s="34" t="n">
        <v>0</v>
      </c>
      <c r="BX27" s="34" t="n">
        <v>0</v>
      </c>
      <c r="BY27" s="34" t="n">
        <v>0</v>
      </c>
      <c r="BZ27" s="34" t="s">
        <v>200</v>
      </c>
      <c r="CA27" s="34" t="s">
        <v>202</v>
      </c>
      <c r="CB27" s="34" t="n">
        <v>5</v>
      </c>
      <c r="CC27" s="34" t="n">
        <v>0.7</v>
      </c>
      <c r="CD27" s="34" t="n">
        <v>0.17</v>
      </c>
      <c r="CE27" s="34" t="n">
        <v>0.71</v>
      </c>
      <c r="CF27" s="34" t="n">
        <v>0</v>
      </c>
      <c r="CG27" s="34" t="n">
        <v>1</v>
      </c>
      <c r="CH27" s="34" t="n">
        <v>-16</v>
      </c>
      <c r="CI27" s="34" t="n">
        <v>5.5</v>
      </c>
      <c r="CJ27" s="34" t="n">
        <v>318</v>
      </c>
      <c r="CK27" s="34" t="n">
        <v>6</v>
      </c>
      <c r="CL27" s="34" t="n">
        <v>0.33</v>
      </c>
      <c r="CM27" s="35" t="n">
        <v>0</v>
      </c>
    </row>
    <row r="28" customFormat="false" ht="15" hidden="false" customHeight="false" outlineLevel="0" collapsed="false">
      <c r="A28" s="3" t="s">
        <v>237</v>
      </c>
      <c r="B28" s="34" t="n">
        <v>48</v>
      </c>
      <c r="C28" s="34" t="s">
        <v>197</v>
      </c>
      <c r="D28" s="34" t="s">
        <v>215</v>
      </c>
      <c r="E28" s="34" t="n">
        <v>342</v>
      </c>
      <c r="F28" s="34" t="s">
        <v>199</v>
      </c>
      <c r="G28" s="34" t="s">
        <v>200</v>
      </c>
      <c r="H28" s="34" t="n">
        <v>2</v>
      </c>
      <c r="I28" s="34" t="n">
        <v>2</v>
      </c>
      <c r="J28" s="34" t="n">
        <v>63.6</v>
      </c>
      <c r="K28" s="34" t="n">
        <v>149</v>
      </c>
      <c r="L28" s="34" t="n">
        <v>2.1</v>
      </c>
      <c r="M28" s="34" t="n">
        <v>0.05</v>
      </c>
      <c r="N28" s="34" t="n">
        <v>0.32</v>
      </c>
      <c r="O28" s="34" t="n">
        <v>0.19</v>
      </c>
      <c r="P28" s="34" t="n">
        <v>116</v>
      </c>
      <c r="Q28" s="34" t="n">
        <v>1</v>
      </c>
      <c r="R28" s="34" t="n">
        <v>0.9</v>
      </c>
      <c r="S28" s="34" t="n">
        <v>1</v>
      </c>
      <c r="T28" s="34" t="n">
        <v>41</v>
      </c>
      <c r="U28" s="34" t="n">
        <v>0.5</v>
      </c>
      <c r="V28" s="34" t="n">
        <v>1</v>
      </c>
      <c r="W28" s="34" t="n">
        <v>0</v>
      </c>
      <c r="X28" s="34" t="n">
        <v>904.6</v>
      </c>
      <c r="Y28" s="34" t="n">
        <v>-34</v>
      </c>
      <c r="Z28" s="34" t="n">
        <v>2</v>
      </c>
      <c r="AA28" s="34" t="n">
        <v>0.07</v>
      </c>
      <c r="AB28" s="34" t="n">
        <v>0</v>
      </c>
      <c r="AC28" s="34" t="n">
        <v>3</v>
      </c>
      <c r="AD28" s="34" t="n">
        <v>28</v>
      </c>
      <c r="AE28" s="34" t="n">
        <v>0</v>
      </c>
      <c r="AF28" s="34" t="n">
        <v>0.85</v>
      </c>
      <c r="AG28" s="34" t="n">
        <v>1</v>
      </c>
      <c r="AH28" s="34" t="n">
        <v>69</v>
      </c>
      <c r="AI28" s="34" t="n">
        <v>14</v>
      </c>
      <c r="AJ28" s="34" t="n">
        <v>0.2</v>
      </c>
      <c r="AK28" s="34" t="n">
        <v>2</v>
      </c>
      <c r="AL28" s="34" t="n">
        <v>0.26</v>
      </c>
      <c r="AM28" s="34" t="n">
        <v>0.4</v>
      </c>
      <c r="AN28" s="34" t="n">
        <v>1.2</v>
      </c>
      <c r="AO28" s="34" t="n">
        <v>0.72</v>
      </c>
      <c r="AP28" s="34" t="n">
        <v>8</v>
      </c>
      <c r="AQ28" s="34" t="n">
        <v>4</v>
      </c>
      <c r="AR28" s="34" t="n">
        <v>0.571</v>
      </c>
      <c r="AS28" s="34" t="n">
        <v>-77</v>
      </c>
      <c r="AT28" s="34" t="n">
        <v>0</v>
      </c>
      <c r="AU28" s="34" t="n">
        <v>2</v>
      </c>
      <c r="AV28" s="34" t="n">
        <v>51</v>
      </c>
      <c r="AW28" s="34" t="n">
        <v>0.003</v>
      </c>
      <c r="AX28" s="34" t="n">
        <v>1</v>
      </c>
      <c r="AY28" s="34" t="n">
        <v>0.22</v>
      </c>
      <c r="AZ28" s="34" t="n">
        <v>2.6</v>
      </c>
      <c r="BA28" s="34" t="n">
        <v>1</v>
      </c>
      <c r="BB28" s="34" t="n">
        <v>0.03</v>
      </c>
      <c r="BC28" s="34" t="s">
        <v>200</v>
      </c>
      <c r="BD28" s="34" t="s">
        <v>200</v>
      </c>
      <c r="BE28" s="34" t="n">
        <v>0</v>
      </c>
      <c r="BF28" s="34" t="n">
        <v>0</v>
      </c>
      <c r="BG28" s="34" t="n">
        <v>0</v>
      </c>
      <c r="BH28" s="34" t="n">
        <v>0</v>
      </c>
      <c r="BI28" s="34" t="n">
        <v>0</v>
      </c>
      <c r="BJ28" s="34"/>
      <c r="BK28" s="34" t="n">
        <v>6.9</v>
      </c>
      <c r="BL28" s="34" t="n">
        <v>0</v>
      </c>
      <c r="BM28" s="34" t="s">
        <v>200</v>
      </c>
      <c r="BN28" s="34" t="n">
        <v>1</v>
      </c>
      <c r="BO28" s="34" t="n">
        <v>0</v>
      </c>
      <c r="BP28" s="34" t="n">
        <v>1</v>
      </c>
      <c r="BQ28" s="34" t="s">
        <v>212</v>
      </c>
      <c r="BR28" s="34" t="s">
        <v>200</v>
      </c>
      <c r="BS28" s="34" t="n">
        <v>0.1</v>
      </c>
      <c r="BT28" s="34" t="n">
        <v>0</v>
      </c>
      <c r="BU28" s="34" t="n">
        <v>0.06</v>
      </c>
      <c r="BV28" s="34" t="n">
        <v>0.15</v>
      </c>
      <c r="BW28" s="34" t="n">
        <v>0</v>
      </c>
      <c r="BX28" s="34" t="n">
        <v>0</v>
      </c>
      <c r="BY28" s="34" t="n">
        <v>0</v>
      </c>
      <c r="BZ28" s="34" t="s">
        <v>200</v>
      </c>
      <c r="CA28" s="34" t="s">
        <v>202</v>
      </c>
      <c r="CB28" s="34"/>
      <c r="CC28" s="34" t="n">
        <v>0.3</v>
      </c>
      <c r="CD28" s="34" t="n">
        <v>0.18</v>
      </c>
      <c r="CE28" s="34" t="n">
        <v>0.4</v>
      </c>
      <c r="CF28" s="34" t="n">
        <v>0</v>
      </c>
      <c r="CG28" s="34" t="n">
        <v>1</v>
      </c>
      <c r="CH28" s="34" t="n">
        <v>-44</v>
      </c>
      <c r="CI28" s="34" t="n">
        <v>-3.3</v>
      </c>
      <c r="CJ28" s="34" t="n">
        <v>10</v>
      </c>
      <c r="CK28" s="34" t="n">
        <v>6</v>
      </c>
      <c r="CL28" s="34" t="n">
        <v>0.05</v>
      </c>
      <c r="CM28" s="35" t="n">
        <v>0</v>
      </c>
    </row>
    <row r="29" customFormat="false" ht="15" hidden="false" customHeight="false" outlineLevel="0" collapsed="false">
      <c r="A29" s="3" t="s">
        <v>238</v>
      </c>
      <c r="B29" s="34" t="n">
        <v>20</v>
      </c>
      <c r="C29" s="34" t="s">
        <v>210</v>
      </c>
      <c r="D29" s="34" t="s">
        <v>215</v>
      </c>
      <c r="E29" s="34" t="n">
        <v>625</v>
      </c>
      <c r="F29" s="34" t="s">
        <v>211</v>
      </c>
      <c r="G29" s="34" t="s">
        <v>200</v>
      </c>
      <c r="H29" s="34" t="n">
        <v>11</v>
      </c>
      <c r="I29" s="34" t="n">
        <v>29</v>
      </c>
      <c r="J29" s="34" t="n">
        <v>54</v>
      </c>
      <c r="K29" s="34" t="n">
        <v>109</v>
      </c>
      <c r="L29" s="34" t="n">
        <v>26.1</v>
      </c>
      <c r="M29" s="34" t="n">
        <v>0.21</v>
      </c>
      <c r="N29" s="34" t="n">
        <v>0.34</v>
      </c>
      <c r="O29" s="34" t="n">
        <v>0.14</v>
      </c>
      <c r="P29" s="34" t="n">
        <v>91</v>
      </c>
      <c r="Q29" s="34" t="n">
        <v>7</v>
      </c>
      <c r="R29" s="34" t="n">
        <v>0.5</v>
      </c>
      <c r="S29" s="34" t="n">
        <v>45</v>
      </c>
      <c r="T29" s="34" t="n">
        <v>1522</v>
      </c>
      <c r="U29" s="34" t="n">
        <v>1.55</v>
      </c>
      <c r="V29" s="34" t="n">
        <v>1</v>
      </c>
      <c r="W29" s="34" t="n">
        <v>1</v>
      </c>
      <c r="X29" s="34" t="n">
        <v>15.2</v>
      </c>
      <c r="Y29" s="34" t="n">
        <v>-11</v>
      </c>
      <c r="Z29" s="34" t="n">
        <v>0</v>
      </c>
      <c r="AA29" s="34" t="n">
        <v>0.24</v>
      </c>
      <c r="AB29" s="34" t="n">
        <v>0.37</v>
      </c>
      <c r="AC29" s="34" t="n">
        <v>3</v>
      </c>
      <c r="AD29" s="34" t="n">
        <v>53</v>
      </c>
      <c r="AE29" s="34" t="n">
        <v>0</v>
      </c>
      <c r="AF29" s="34" t="n">
        <v>0.85</v>
      </c>
      <c r="AG29" s="34" t="n">
        <v>1</v>
      </c>
      <c r="AH29" s="34" t="n">
        <v>1750</v>
      </c>
      <c r="AI29" s="34" t="n">
        <v>1387</v>
      </c>
      <c r="AJ29" s="34" t="n">
        <v>0.79</v>
      </c>
      <c r="AK29" s="34" t="n">
        <v>7</v>
      </c>
      <c r="AL29" s="34" t="n">
        <v>0.86</v>
      </c>
      <c r="AM29" s="34" t="n">
        <v>4.6</v>
      </c>
      <c r="AN29" s="34" t="n">
        <v>5.4</v>
      </c>
      <c r="AO29" s="34" t="n">
        <v>0.86</v>
      </c>
      <c r="AP29" s="34" t="n">
        <v>434</v>
      </c>
      <c r="AQ29" s="34" t="n">
        <v>39</v>
      </c>
      <c r="AR29" s="34" t="n">
        <v>0.313</v>
      </c>
      <c r="AS29" s="34" t="n">
        <v>-17</v>
      </c>
      <c r="AT29" s="34" t="n">
        <v>0.28</v>
      </c>
      <c r="AU29" s="34" t="n">
        <v>139</v>
      </c>
      <c r="AV29" s="34" t="n">
        <v>7796</v>
      </c>
      <c r="AW29" s="34" t="n">
        <v>0.072</v>
      </c>
      <c r="AX29" s="34" t="n">
        <v>1</v>
      </c>
      <c r="AY29" s="34" t="n">
        <v>0.33</v>
      </c>
      <c r="AZ29" s="34" t="n">
        <v>3.9</v>
      </c>
      <c r="BA29" s="34" t="n">
        <v>3.3</v>
      </c>
      <c r="BB29" s="34" t="n">
        <v>0.18</v>
      </c>
      <c r="BC29" s="34" t="s">
        <v>207</v>
      </c>
      <c r="BD29" s="34" t="s">
        <v>200</v>
      </c>
      <c r="BE29" s="34" t="n">
        <v>0</v>
      </c>
      <c r="BF29" s="34" t="n">
        <v>0</v>
      </c>
      <c r="BG29" s="34" t="n">
        <v>0</v>
      </c>
      <c r="BH29" s="34" t="n">
        <v>0</v>
      </c>
      <c r="BI29" s="34" t="n">
        <v>0</v>
      </c>
      <c r="BJ29" s="34"/>
      <c r="BK29" s="34" t="n">
        <v>5.6</v>
      </c>
      <c r="BL29" s="34" t="n">
        <v>0</v>
      </c>
      <c r="BM29" s="34" t="s">
        <v>200</v>
      </c>
      <c r="BN29" s="34" t="n">
        <v>2</v>
      </c>
      <c r="BO29" s="34" t="n">
        <v>0</v>
      </c>
      <c r="BP29" s="34" t="n">
        <v>2</v>
      </c>
      <c r="BQ29" s="34" t="s">
        <v>208</v>
      </c>
      <c r="BR29" s="34" t="s">
        <v>200</v>
      </c>
      <c r="BS29" s="34" t="n">
        <v>0.39</v>
      </c>
      <c r="BT29" s="34" t="n">
        <v>0</v>
      </c>
      <c r="BU29" s="34" t="n">
        <v>0.32</v>
      </c>
      <c r="BV29" s="34" t="n">
        <v>0.34</v>
      </c>
      <c r="BW29" s="34" t="n">
        <v>3</v>
      </c>
      <c r="BX29" s="34" t="n">
        <v>0</v>
      </c>
      <c r="BY29" s="34" t="n">
        <v>0</v>
      </c>
      <c r="BZ29" s="34" t="s">
        <v>200</v>
      </c>
      <c r="CA29" s="34" t="s">
        <v>202</v>
      </c>
      <c r="CB29" s="34" t="n">
        <v>4</v>
      </c>
      <c r="CC29" s="34" t="n">
        <v>1.2</v>
      </c>
      <c r="CD29" s="34" t="n">
        <v>0.12</v>
      </c>
      <c r="CE29" s="34" t="n">
        <v>0.41</v>
      </c>
      <c r="CF29" s="34" t="n">
        <v>0</v>
      </c>
      <c r="CG29" s="34" t="n">
        <v>1</v>
      </c>
      <c r="CH29" s="34" t="n">
        <v>68</v>
      </c>
      <c r="CI29" s="34" t="n">
        <v>-0.3</v>
      </c>
      <c r="CJ29" s="34" t="n">
        <v>732</v>
      </c>
      <c r="CK29" s="34" t="n">
        <v>6</v>
      </c>
      <c r="CL29" s="34" t="n">
        <v>0.35</v>
      </c>
      <c r="CM29" s="35" t="n">
        <v>0</v>
      </c>
    </row>
    <row r="30" customFormat="false" ht="15" hidden="false" customHeight="false" outlineLevel="0" collapsed="false">
      <c r="A30" s="3" t="s">
        <v>239</v>
      </c>
      <c r="B30" s="34" t="n">
        <v>30</v>
      </c>
      <c r="C30" s="34" t="s">
        <v>210</v>
      </c>
      <c r="D30" s="34" t="s">
        <v>227</v>
      </c>
      <c r="E30" s="34" t="n">
        <v>8</v>
      </c>
      <c r="F30" s="34" t="s">
        <v>211</v>
      </c>
      <c r="G30" s="34" t="s">
        <v>200</v>
      </c>
      <c r="H30" s="34" t="n">
        <v>11</v>
      </c>
      <c r="I30" s="34" t="n">
        <v>21</v>
      </c>
      <c r="J30" s="34" t="n">
        <v>10.8</v>
      </c>
      <c r="K30" s="34" t="n">
        <v>18</v>
      </c>
      <c r="L30" s="34" t="n">
        <v>3.8</v>
      </c>
      <c r="M30" s="34" t="n">
        <v>0.1</v>
      </c>
      <c r="N30" s="34" t="n">
        <v>0.23</v>
      </c>
      <c r="O30" s="34" t="n">
        <v>0.09</v>
      </c>
      <c r="P30" s="34" t="n">
        <v>12</v>
      </c>
      <c r="Q30" s="34" t="n">
        <v>4</v>
      </c>
      <c r="R30" s="34" t="n">
        <v>0.5</v>
      </c>
      <c r="S30" s="34" t="n">
        <v>40</v>
      </c>
      <c r="T30" s="34" t="n">
        <v>3083</v>
      </c>
      <c r="U30" s="34" t="n">
        <v>1.9</v>
      </c>
      <c r="V30" s="34" t="n">
        <v>2</v>
      </c>
      <c r="W30" s="34" t="n">
        <v>1</v>
      </c>
      <c r="X30" s="34" t="n">
        <v>17</v>
      </c>
      <c r="Y30" s="34" t="n">
        <v>-33</v>
      </c>
      <c r="Z30" s="34" t="n">
        <v>0</v>
      </c>
      <c r="AA30" s="34" t="n">
        <v>0.14</v>
      </c>
      <c r="AB30" s="34" t="n">
        <v>0.4</v>
      </c>
      <c r="AC30" s="34" t="n">
        <v>6</v>
      </c>
      <c r="AD30" s="34" t="n">
        <v>63</v>
      </c>
      <c r="AE30" s="34" t="n">
        <v>0</v>
      </c>
      <c r="AF30" s="34" t="n">
        <v>0.65</v>
      </c>
      <c r="AG30" s="34" t="n">
        <v>0</v>
      </c>
      <c r="AH30" s="34" t="n">
        <v>714</v>
      </c>
      <c r="AI30" s="34" t="n">
        <v>1249</v>
      </c>
      <c r="AJ30" s="34" t="n">
        <v>1.75</v>
      </c>
      <c r="AK30" s="34" t="n">
        <v>13</v>
      </c>
      <c r="AL30" s="34" t="n">
        <v>0.7</v>
      </c>
      <c r="AM30" s="34" t="n">
        <v>10.2</v>
      </c>
      <c r="AN30" s="34" t="n">
        <v>5.9</v>
      </c>
      <c r="AO30" s="34" t="n">
        <v>1.3</v>
      </c>
      <c r="AP30" s="34" t="n">
        <v>1485</v>
      </c>
      <c r="AQ30" s="34" t="n">
        <v>135</v>
      </c>
      <c r="AR30" s="34" t="n">
        <v>1.189</v>
      </c>
      <c r="AS30" s="34" t="n">
        <v>32</v>
      </c>
      <c r="AT30" s="34" t="n">
        <v>0.21</v>
      </c>
      <c r="AU30" s="34" t="n">
        <v>459</v>
      </c>
      <c r="AV30" s="34" t="n">
        <v>151</v>
      </c>
      <c r="AW30" s="34" t="n">
        <v>0.248</v>
      </c>
      <c r="AX30" s="34" t="n">
        <v>2</v>
      </c>
      <c r="AY30" s="34" t="n">
        <v>0.3</v>
      </c>
      <c r="AZ30" s="34" t="n">
        <v>2.7</v>
      </c>
      <c r="BA30" s="34" t="n">
        <v>1</v>
      </c>
      <c r="BB30" s="34" t="n">
        <v>0.49</v>
      </c>
      <c r="BC30" s="34" t="s">
        <v>200</v>
      </c>
      <c r="BD30" s="34" t="s">
        <v>207</v>
      </c>
      <c r="BE30" s="34" t="n">
        <v>0</v>
      </c>
      <c r="BF30" s="34" t="n">
        <v>0</v>
      </c>
      <c r="BG30" s="34" t="n">
        <v>1</v>
      </c>
      <c r="BH30" s="34" t="n">
        <v>0</v>
      </c>
      <c r="BI30" s="34" t="n">
        <v>0</v>
      </c>
      <c r="BJ30" s="34"/>
      <c r="BK30" s="34" t="n">
        <v>1.6</v>
      </c>
      <c r="BL30" s="34" t="n">
        <v>0</v>
      </c>
      <c r="BM30" s="34" t="s">
        <v>200</v>
      </c>
      <c r="BN30" s="34" t="n">
        <v>1</v>
      </c>
      <c r="BO30" s="34" t="n">
        <v>0</v>
      </c>
      <c r="BP30" s="34" t="n">
        <v>2</v>
      </c>
      <c r="BQ30" s="34" t="s">
        <v>208</v>
      </c>
      <c r="BR30" s="34" t="s">
        <v>200</v>
      </c>
      <c r="BS30" s="34" t="n">
        <v>0.48</v>
      </c>
      <c r="BT30" s="34" t="n">
        <v>0</v>
      </c>
      <c r="BU30" s="34" t="n">
        <v>0.31</v>
      </c>
      <c r="BV30" s="34" t="n">
        <v>0.09</v>
      </c>
      <c r="BW30" s="34" t="n">
        <v>2</v>
      </c>
      <c r="BX30" s="34" t="n">
        <v>0</v>
      </c>
      <c r="BY30" s="34" t="n">
        <v>0</v>
      </c>
      <c r="BZ30" s="34" t="s">
        <v>200</v>
      </c>
      <c r="CA30" s="34" t="s">
        <v>202</v>
      </c>
      <c r="CB30" s="34"/>
      <c r="CC30" s="34" t="n">
        <v>1.7</v>
      </c>
      <c r="CD30" s="34" t="n">
        <v>0.14</v>
      </c>
      <c r="CE30" s="34" t="n">
        <v>0.69</v>
      </c>
      <c r="CF30" s="34" t="n">
        <v>0</v>
      </c>
      <c r="CG30" s="34" t="n">
        <v>1</v>
      </c>
      <c r="CH30" s="34" t="n">
        <v>9</v>
      </c>
      <c r="CI30" s="34" t="n">
        <v>2.9</v>
      </c>
      <c r="CJ30" s="34" t="n">
        <v>1288</v>
      </c>
      <c r="CK30" s="34" t="n">
        <v>1</v>
      </c>
      <c r="CL30" s="34" t="n">
        <v>0.33</v>
      </c>
      <c r="CM30" s="35" t="n">
        <v>0</v>
      </c>
    </row>
    <row r="31" customFormat="false" ht="15" hidden="false" customHeight="false" outlineLevel="0" collapsed="false">
      <c r="A31" s="3" t="s">
        <v>240</v>
      </c>
      <c r="B31" s="34" t="n">
        <v>47</v>
      </c>
      <c r="C31" s="34" t="s">
        <v>210</v>
      </c>
      <c r="D31" s="34" t="s">
        <v>215</v>
      </c>
      <c r="E31" s="34" t="n">
        <v>1039</v>
      </c>
      <c r="F31" s="34" t="s">
        <v>211</v>
      </c>
      <c r="G31" s="34" t="s">
        <v>200</v>
      </c>
      <c r="H31" s="34" t="n">
        <v>3</v>
      </c>
      <c r="I31" s="34" t="n">
        <v>4</v>
      </c>
      <c r="J31" s="34" t="n">
        <v>24.3</v>
      </c>
      <c r="K31" s="34" t="n">
        <v>34</v>
      </c>
      <c r="L31" s="34" t="n">
        <v>1.6</v>
      </c>
      <c r="M31" s="34" t="n">
        <v>0.05</v>
      </c>
      <c r="N31" s="34" t="n">
        <v>0.38</v>
      </c>
      <c r="O31" s="34" t="n">
        <v>0.06</v>
      </c>
      <c r="P31" s="34" t="n">
        <v>25</v>
      </c>
      <c r="Q31" s="34" t="n">
        <v>1</v>
      </c>
      <c r="R31" s="34" t="n">
        <v>0.3</v>
      </c>
      <c r="S31" s="34" t="n">
        <v>5</v>
      </c>
      <c r="T31" s="34" t="n">
        <v>175</v>
      </c>
      <c r="U31" s="34" t="n">
        <v>1.25</v>
      </c>
      <c r="V31" s="34" t="n">
        <v>2</v>
      </c>
      <c r="W31" s="34" t="n">
        <v>1</v>
      </c>
      <c r="X31" s="34" t="n">
        <v>116.1</v>
      </c>
      <c r="Y31" s="34" t="n">
        <v>-24</v>
      </c>
      <c r="Z31" s="34" t="n">
        <v>0</v>
      </c>
      <c r="AA31" s="34" t="n">
        <v>0.01</v>
      </c>
      <c r="AB31" s="34" t="n">
        <v>0.67</v>
      </c>
      <c r="AC31" s="34" t="n">
        <v>2</v>
      </c>
      <c r="AD31" s="34" t="n">
        <v>36</v>
      </c>
      <c r="AE31" s="34" t="n">
        <v>0</v>
      </c>
      <c r="AF31" s="34" t="n">
        <v>0.73</v>
      </c>
      <c r="AG31" s="34" t="n">
        <v>1</v>
      </c>
      <c r="AH31" s="34" t="n">
        <v>134</v>
      </c>
      <c r="AI31" s="34" t="n">
        <v>182</v>
      </c>
      <c r="AJ31" s="34" t="n">
        <v>1.36</v>
      </c>
      <c r="AK31" s="34" t="n">
        <v>9</v>
      </c>
      <c r="AL31" s="34" t="n">
        <v>0.54</v>
      </c>
      <c r="AM31" s="34" t="n">
        <v>0.2</v>
      </c>
      <c r="AN31" s="34" t="n">
        <v>2.3</v>
      </c>
      <c r="AO31" s="34" t="n">
        <v>1.12</v>
      </c>
      <c r="AP31" s="34" t="n">
        <v>68</v>
      </c>
      <c r="AQ31" s="34" t="n">
        <v>23</v>
      </c>
      <c r="AR31" s="34" t="n">
        <v>0.374</v>
      </c>
      <c r="AS31" s="34" t="n">
        <v>-26</v>
      </c>
      <c r="AT31" s="34" t="n">
        <v>0.19</v>
      </c>
      <c r="AU31" s="34" t="n">
        <v>25</v>
      </c>
      <c r="AV31" s="34" t="n">
        <v>1195</v>
      </c>
      <c r="AW31" s="34" t="n">
        <v>0.011</v>
      </c>
      <c r="AX31" s="34" t="n">
        <v>1</v>
      </c>
      <c r="AY31" s="34" t="n">
        <v>0.49</v>
      </c>
      <c r="AZ31" s="34" t="n">
        <v>1.7</v>
      </c>
      <c r="BA31" s="34" t="n">
        <v>1</v>
      </c>
      <c r="BB31" s="34" t="n">
        <v>0.32</v>
      </c>
      <c r="BC31" s="34" t="s">
        <v>207</v>
      </c>
      <c r="BD31" s="34" t="s">
        <v>200</v>
      </c>
      <c r="BE31" s="34" t="n">
        <v>0</v>
      </c>
      <c r="BF31" s="34" t="n">
        <v>0</v>
      </c>
      <c r="BG31" s="34" t="n">
        <v>0</v>
      </c>
      <c r="BH31" s="34" t="n">
        <v>0</v>
      </c>
      <c r="BI31" s="34" t="n">
        <v>0</v>
      </c>
      <c r="BJ31" s="34"/>
      <c r="BK31" s="34" t="n">
        <v>5.9</v>
      </c>
      <c r="BL31" s="34" t="n">
        <v>1</v>
      </c>
      <c r="BM31" s="34" t="s">
        <v>200</v>
      </c>
      <c r="BN31" s="34" t="n">
        <v>1</v>
      </c>
      <c r="BO31" s="34" t="n">
        <v>0</v>
      </c>
      <c r="BP31" s="34" t="n">
        <v>1</v>
      </c>
      <c r="BQ31" s="34" t="s">
        <v>208</v>
      </c>
      <c r="BR31" s="34" t="s">
        <v>200</v>
      </c>
      <c r="BS31" s="34" t="n">
        <v>0.34</v>
      </c>
      <c r="BT31" s="34" t="n">
        <v>0</v>
      </c>
      <c r="BU31" s="34" t="n">
        <v>0.21</v>
      </c>
      <c r="BV31" s="34" t="n">
        <v>0.13</v>
      </c>
      <c r="BW31" s="34" t="n">
        <v>1</v>
      </c>
      <c r="BX31" s="34" t="n">
        <v>0</v>
      </c>
      <c r="BY31" s="34" t="n">
        <v>0</v>
      </c>
      <c r="BZ31" s="34" t="s">
        <v>200</v>
      </c>
      <c r="CA31" s="34" t="s">
        <v>202</v>
      </c>
      <c r="CB31" s="34" t="n">
        <v>0</v>
      </c>
      <c r="CC31" s="34" t="n">
        <v>1.6</v>
      </c>
      <c r="CD31" s="34" t="n">
        <v>0.04</v>
      </c>
      <c r="CE31" s="34" t="n">
        <v>0.79</v>
      </c>
      <c r="CF31" s="34" t="n">
        <v>0</v>
      </c>
      <c r="CG31" s="34" t="n">
        <v>2</v>
      </c>
      <c r="CH31" s="34" t="n">
        <v>0</v>
      </c>
      <c r="CI31" s="34" t="n">
        <v>2.3</v>
      </c>
      <c r="CJ31" s="34" t="n">
        <v>153</v>
      </c>
      <c r="CK31" s="34" t="n">
        <v>6</v>
      </c>
      <c r="CL31" s="34" t="n">
        <v>0.48</v>
      </c>
      <c r="CM31" s="35" t="n">
        <v>0</v>
      </c>
    </row>
    <row r="32" customFormat="false" ht="15" hidden="false" customHeight="false" outlineLevel="0" collapsed="false">
      <c r="A32" s="3" t="s">
        <v>241</v>
      </c>
      <c r="B32" s="34" t="n">
        <v>36</v>
      </c>
      <c r="C32" s="34" t="s">
        <v>210</v>
      </c>
      <c r="D32" s="34" t="s">
        <v>215</v>
      </c>
      <c r="E32" s="34" t="n">
        <v>357</v>
      </c>
      <c r="F32" s="34" t="s">
        <v>223</v>
      </c>
      <c r="G32" s="34" t="s">
        <v>200</v>
      </c>
      <c r="H32" s="34" t="n">
        <v>1</v>
      </c>
      <c r="I32" s="34" t="n">
        <v>1</v>
      </c>
      <c r="J32" s="34" t="n">
        <v>55.6</v>
      </c>
      <c r="K32" s="34" t="n">
        <v>96</v>
      </c>
      <c r="L32" s="34" t="n">
        <v>0.9</v>
      </c>
      <c r="M32" s="34" t="n">
        <v>0</v>
      </c>
      <c r="N32" s="34" t="n">
        <v>0.25</v>
      </c>
      <c r="O32" s="34" t="n">
        <v>0.04</v>
      </c>
      <c r="P32" s="34" t="n">
        <v>81</v>
      </c>
      <c r="Q32" s="34" t="n">
        <v>1</v>
      </c>
      <c r="R32" s="34" t="n">
        <v>0.2</v>
      </c>
      <c r="S32" s="34" t="n">
        <v>1</v>
      </c>
      <c r="T32" s="34" t="n">
        <v>22</v>
      </c>
      <c r="U32" s="34" t="n">
        <v>1</v>
      </c>
      <c r="V32" s="34" t="n">
        <v>1</v>
      </c>
      <c r="W32" s="34" t="n">
        <v>0</v>
      </c>
      <c r="X32" s="34" t="n">
        <v>450.9</v>
      </c>
      <c r="Y32" s="34" t="n">
        <v>-22</v>
      </c>
      <c r="Z32" s="34" t="n">
        <v>0</v>
      </c>
      <c r="AA32" s="34" t="n">
        <v>0</v>
      </c>
      <c r="AB32" s="34" t="n">
        <v>0.2</v>
      </c>
      <c r="AC32" s="34" t="n">
        <v>5</v>
      </c>
      <c r="AD32" s="34" t="n">
        <v>105</v>
      </c>
      <c r="AE32" s="34" t="n">
        <v>0</v>
      </c>
      <c r="AF32" s="34" t="n">
        <v>1.12</v>
      </c>
      <c r="AG32" s="34" t="n">
        <v>0</v>
      </c>
      <c r="AH32" s="34" t="n">
        <v>5</v>
      </c>
      <c r="AI32" s="34" t="n">
        <v>1</v>
      </c>
      <c r="AJ32" s="34" t="n">
        <v>0.2</v>
      </c>
      <c r="AK32" s="34" t="n">
        <v>1</v>
      </c>
      <c r="AL32" s="34" t="n">
        <v>0.1</v>
      </c>
      <c r="AM32" s="34" t="n">
        <v>-14.7</v>
      </c>
      <c r="AN32" s="34" t="n">
        <v>1.8</v>
      </c>
      <c r="AO32" s="34" t="n">
        <v>0.5</v>
      </c>
      <c r="AP32" s="34" t="n">
        <v>6</v>
      </c>
      <c r="AQ32" s="34" t="n">
        <v>6</v>
      </c>
      <c r="AR32" s="34" t="n">
        <v>6</v>
      </c>
      <c r="AS32" s="34" t="n">
        <v>-69</v>
      </c>
      <c r="AT32" s="34" t="n">
        <v>0</v>
      </c>
      <c r="AU32" s="34" t="n">
        <v>2</v>
      </c>
      <c r="AV32" s="34" t="n">
        <v>55</v>
      </c>
      <c r="AW32" s="34" t="n">
        <v>0.004</v>
      </c>
      <c r="AX32" s="34" t="n">
        <v>1</v>
      </c>
      <c r="AY32" s="34" t="n">
        <v>0.59</v>
      </c>
      <c r="AZ32" s="34" t="n">
        <v>2.3</v>
      </c>
      <c r="BA32" s="34" t="n">
        <v>1</v>
      </c>
      <c r="BB32" s="34" t="n">
        <v>0</v>
      </c>
      <c r="BC32" s="34" t="s">
        <v>200</v>
      </c>
      <c r="BD32" s="34" t="s">
        <v>200</v>
      </c>
      <c r="BE32" s="34" t="n">
        <v>0</v>
      </c>
      <c r="BF32" s="34" t="n">
        <v>0</v>
      </c>
      <c r="BG32" s="34" t="n">
        <v>0</v>
      </c>
      <c r="BH32" s="34" t="n">
        <v>0</v>
      </c>
      <c r="BI32" s="34" t="n">
        <v>0</v>
      </c>
      <c r="BJ32" s="34"/>
      <c r="BK32" s="34" t="n">
        <v>9.5</v>
      </c>
      <c r="BL32" s="34" t="n">
        <v>0</v>
      </c>
      <c r="BM32" s="34" t="s">
        <v>200</v>
      </c>
      <c r="BN32" s="34" t="n">
        <v>1</v>
      </c>
      <c r="BO32" s="34" t="n">
        <v>0</v>
      </c>
      <c r="BP32" s="34" t="n">
        <v>1</v>
      </c>
      <c r="BQ32" s="34" t="s">
        <v>201</v>
      </c>
      <c r="BR32" s="34" t="s">
        <v>200</v>
      </c>
      <c r="BS32" s="34" t="n">
        <v>0</v>
      </c>
      <c r="BT32" s="34" t="n">
        <v>0</v>
      </c>
      <c r="BU32" s="34" t="n">
        <v>0</v>
      </c>
      <c r="BV32" s="34" t="n">
        <v>0.04</v>
      </c>
      <c r="BW32" s="34" t="n">
        <v>0</v>
      </c>
      <c r="BX32" s="34" t="n">
        <v>0</v>
      </c>
      <c r="BY32" s="34" t="n">
        <v>0</v>
      </c>
      <c r="BZ32" s="34" t="s">
        <v>200</v>
      </c>
      <c r="CA32" s="34" t="s">
        <v>204</v>
      </c>
      <c r="CB32" s="34"/>
      <c r="CC32" s="34" t="n">
        <v>0</v>
      </c>
      <c r="CD32" s="34" t="n">
        <v>0</v>
      </c>
      <c r="CE32" s="34" t="n">
        <v>0.52</v>
      </c>
      <c r="CF32" s="34" t="n">
        <v>0</v>
      </c>
      <c r="CG32" s="34" t="n">
        <v>1</v>
      </c>
      <c r="CH32" s="34" t="n">
        <v>-42</v>
      </c>
      <c r="CI32" s="34" t="n">
        <v>-6.1</v>
      </c>
      <c r="CJ32" s="34" t="n">
        <v>0</v>
      </c>
      <c r="CK32" s="34" t="n">
        <v>6</v>
      </c>
      <c r="CL32" s="34" t="n">
        <v>0.05</v>
      </c>
      <c r="CM32" s="35" t="n">
        <v>0</v>
      </c>
    </row>
    <row r="33" customFormat="false" ht="15" hidden="false" customHeight="false" outlineLevel="0" collapsed="false">
      <c r="A33" s="3" t="s">
        <v>242</v>
      </c>
      <c r="B33" s="34" t="n">
        <v>54</v>
      </c>
      <c r="C33" s="34" t="s">
        <v>197</v>
      </c>
      <c r="D33" s="34" t="s">
        <v>243</v>
      </c>
      <c r="E33" s="34" t="n">
        <v>1253</v>
      </c>
      <c r="F33" s="34" t="s">
        <v>223</v>
      </c>
      <c r="G33" s="34" t="s">
        <v>207</v>
      </c>
      <c r="H33" s="34" t="n">
        <v>10</v>
      </c>
      <c r="I33" s="34" t="n">
        <v>14</v>
      </c>
      <c r="J33" s="34" t="n">
        <v>47.2</v>
      </c>
      <c r="K33" s="34" t="n">
        <v>57</v>
      </c>
      <c r="L33" s="34" t="n">
        <v>11</v>
      </c>
      <c r="M33" s="34" t="n">
        <v>0.01</v>
      </c>
      <c r="N33" s="34" t="n">
        <v>0.21</v>
      </c>
      <c r="O33" s="34" t="n">
        <v>0.14</v>
      </c>
      <c r="P33" s="34" t="n">
        <v>47</v>
      </c>
      <c r="Q33" s="34" t="n">
        <v>4</v>
      </c>
      <c r="R33" s="34" t="n">
        <v>0.4</v>
      </c>
      <c r="S33" s="34" t="n">
        <v>14</v>
      </c>
      <c r="T33" s="34" t="n">
        <v>422</v>
      </c>
      <c r="U33" s="34" t="n">
        <v>1</v>
      </c>
      <c r="V33" s="34" t="n">
        <v>1</v>
      </c>
      <c r="W33" s="34" t="n">
        <v>0</v>
      </c>
      <c r="X33" s="34" t="n">
        <v>47.5</v>
      </c>
      <c r="Y33" s="34" t="n">
        <v>53</v>
      </c>
      <c r="Z33" s="34" t="n">
        <v>0</v>
      </c>
      <c r="AA33" s="34" t="n">
        <v>0</v>
      </c>
      <c r="AB33" s="34" t="n">
        <v>0.24</v>
      </c>
      <c r="AC33" s="34" t="n">
        <v>5</v>
      </c>
      <c r="AD33" s="34" t="n">
        <v>57</v>
      </c>
      <c r="AE33" s="34" t="n">
        <v>0</v>
      </c>
      <c r="AF33" s="34" t="n">
        <v>0.68</v>
      </c>
      <c r="AG33" s="34" t="n">
        <v>0</v>
      </c>
      <c r="AH33" s="34" t="n">
        <v>202</v>
      </c>
      <c r="AI33" s="34" t="n">
        <v>188</v>
      </c>
      <c r="AJ33" s="34" t="n">
        <v>0.93</v>
      </c>
      <c r="AK33" s="34" t="n">
        <v>5</v>
      </c>
      <c r="AL33" s="34" t="n">
        <v>0.53</v>
      </c>
      <c r="AM33" s="34" t="n">
        <v>-8.2</v>
      </c>
      <c r="AN33" s="34" t="n">
        <v>2.9</v>
      </c>
      <c r="AO33" s="34" t="n">
        <v>0.69</v>
      </c>
      <c r="AP33" s="34" t="n">
        <v>215</v>
      </c>
      <c r="AQ33" s="34" t="n">
        <v>22</v>
      </c>
      <c r="AR33" s="34" t="n">
        <v>1.144</v>
      </c>
      <c r="AS33" s="34" t="n">
        <v>-3</v>
      </c>
      <c r="AT33" s="34" t="n">
        <v>0.19</v>
      </c>
      <c r="AU33" s="34" t="n">
        <v>37</v>
      </c>
      <c r="AV33" s="34" t="n">
        <v>3309</v>
      </c>
      <c r="AW33" s="34" t="n">
        <v>0.143</v>
      </c>
      <c r="AX33" s="34" t="n">
        <v>1</v>
      </c>
      <c r="AY33" s="34" t="n">
        <v>0.55</v>
      </c>
      <c r="AZ33" s="34" t="n">
        <v>2.9</v>
      </c>
      <c r="BA33" s="34" t="n">
        <v>1</v>
      </c>
      <c r="BB33" s="34" t="n">
        <v>0.09</v>
      </c>
      <c r="BC33" s="34" t="s">
        <v>200</v>
      </c>
      <c r="BD33" s="34" t="s">
        <v>207</v>
      </c>
      <c r="BE33" s="34" t="n">
        <v>0</v>
      </c>
      <c r="BF33" s="34" t="n">
        <v>0</v>
      </c>
      <c r="BG33" s="34" t="n">
        <v>0</v>
      </c>
      <c r="BH33" s="34" t="n">
        <v>0</v>
      </c>
      <c r="BI33" s="34" t="n">
        <v>0</v>
      </c>
      <c r="BJ33" s="34"/>
      <c r="BK33" s="34" t="n">
        <v>4.4</v>
      </c>
      <c r="BL33" s="34" t="n">
        <v>0</v>
      </c>
      <c r="BM33" s="34" t="s">
        <v>200</v>
      </c>
      <c r="BN33" s="34" t="n">
        <v>2</v>
      </c>
      <c r="BO33" s="34" t="n">
        <v>0</v>
      </c>
      <c r="BP33" s="34" t="n">
        <v>1</v>
      </c>
      <c r="BQ33" s="34" t="s">
        <v>201</v>
      </c>
      <c r="BR33" s="34" t="s">
        <v>200</v>
      </c>
      <c r="BS33" s="34" t="n">
        <v>0.28</v>
      </c>
      <c r="BT33" s="34" t="n">
        <v>0</v>
      </c>
      <c r="BU33" s="34" t="n">
        <v>0.16</v>
      </c>
      <c r="BV33" s="34" t="n">
        <v>0.26</v>
      </c>
      <c r="BW33" s="34" t="n">
        <v>0</v>
      </c>
      <c r="BX33" s="34" t="n">
        <v>0</v>
      </c>
      <c r="BY33" s="34" t="n">
        <v>0</v>
      </c>
      <c r="BZ33" s="34" t="s">
        <v>200</v>
      </c>
      <c r="CA33" s="34" t="s">
        <v>202</v>
      </c>
      <c r="CB33" s="34"/>
      <c r="CC33" s="34" t="n">
        <v>0.7</v>
      </c>
      <c r="CD33" s="34" t="n">
        <v>0.1</v>
      </c>
      <c r="CE33" s="34" t="n">
        <v>0.37</v>
      </c>
      <c r="CF33" s="34" t="n">
        <v>0</v>
      </c>
      <c r="CG33" s="34" t="n">
        <v>1</v>
      </c>
      <c r="CH33" s="34" t="n">
        <v>5</v>
      </c>
      <c r="CI33" s="34" t="n">
        <v>-9.8</v>
      </c>
      <c r="CJ33" s="34" t="n">
        <v>92</v>
      </c>
      <c r="CK33" s="34" t="n">
        <v>6</v>
      </c>
      <c r="CL33" s="34" t="n">
        <v>0.25</v>
      </c>
      <c r="CM33" s="35" t="n">
        <v>0</v>
      </c>
    </row>
    <row r="34" customFormat="false" ht="15" hidden="false" customHeight="false" outlineLevel="0" collapsed="false">
      <c r="A34" s="3" t="s">
        <v>244</v>
      </c>
      <c r="B34" s="34" t="n">
        <v>25</v>
      </c>
      <c r="C34" s="34" t="s">
        <v>210</v>
      </c>
      <c r="D34" s="34" t="s">
        <v>206</v>
      </c>
      <c r="E34" s="34" t="n">
        <v>1079</v>
      </c>
      <c r="F34" s="34" t="s">
        <v>223</v>
      </c>
      <c r="G34" s="34" t="s">
        <v>200</v>
      </c>
      <c r="H34" s="34" t="n">
        <v>9</v>
      </c>
      <c r="I34" s="34" t="n">
        <v>18</v>
      </c>
      <c r="J34" s="34" t="n">
        <v>44.1</v>
      </c>
      <c r="K34" s="34" t="n">
        <v>101</v>
      </c>
      <c r="L34" s="34" t="n">
        <v>13.2</v>
      </c>
      <c r="M34" s="34" t="n">
        <v>0.15</v>
      </c>
      <c r="N34" s="34" t="n">
        <v>0.32</v>
      </c>
      <c r="O34" s="34" t="n">
        <v>0.07</v>
      </c>
      <c r="P34" s="34" t="n">
        <v>93</v>
      </c>
      <c r="Q34" s="34" t="n">
        <v>5</v>
      </c>
      <c r="R34" s="34" t="n">
        <v>1.3</v>
      </c>
      <c r="S34" s="34" t="n">
        <v>29</v>
      </c>
      <c r="T34" s="34" t="n">
        <v>996</v>
      </c>
      <c r="U34" s="34" t="n">
        <v>1.61</v>
      </c>
      <c r="V34" s="34" t="n">
        <v>1</v>
      </c>
      <c r="W34" s="34" t="n">
        <v>1</v>
      </c>
      <c r="X34" s="34" t="n">
        <v>21.4</v>
      </c>
      <c r="Y34" s="34" t="n">
        <v>28</v>
      </c>
      <c r="Z34" s="34" t="n">
        <v>0</v>
      </c>
      <c r="AA34" s="34" t="n">
        <v>0.12</v>
      </c>
      <c r="AB34" s="34" t="n">
        <v>0.71</v>
      </c>
      <c r="AC34" s="34" t="n">
        <v>4</v>
      </c>
      <c r="AD34" s="34" t="n">
        <v>20</v>
      </c>
      <c r="AE34" s="34" t="n">
        <v>1</v>
      </c>
      <c r="AF34" s="34" t="n">
        <v>0.75</v>
      </c>
      <c r="AG34" s="34" t="n">
        <v>0</v>
      </c>
      <c r="AH34" s="34" t="n">
        <v>831</v>
      </c>
      <c r="AI34" s="34" t="n">
        <v>1939</v>
      </c>
      <c r="AJ34" s="34" t="n">
        <v>2.33</v>
      </c>
      <c r="AK34" s="34" t="n">
        <v>15</v>
      </c>
      <c r="AL34" s="34" t="n">
        <v>0.75</v>
      </c>
      <c r="AM34" s="34" t="n">
        <v>-1.2</v>
      </c>
      <c r="AN34" s="34" t="n">
        <v>5.4</v>
      </c>
      <c r="AO34" s="34" t="n">
        <v>0.93</v>
      </c>
      <c r="AP34" s="34" t="n">
        <v>403</v>
      </c>
      <c r="AQ34" s="34" t="n">
        <v>45</v>
      </c>
      <c r="AR34" s="34" t="n">
        <v>0.208</v>
      </c>
      <c r="AS34" s="34" t="n">
        <v>34</v>
      </c>
      <c r="AT34" s="34" t="n">
        <v>0.38</v>
      </c>
      <c r="AU34" s="34" t="n">
        <v>71</v>
      </c>
      <c r="AV34" s="34" t="n">
        <v>4760</v>
      </c>
      <c r="AW34" s="34" t="n">
        <v>0.269</v>
      </c>
      <c r="AX34" s="34" t="n">
        <v>1</v>
      </c>
      <c r="AY34" s="34" t="n">
        <v>0.63</v>
      </c>
      <c r="AZ34" s="34" t="n">
        <v>3.2</v>
      </c>
      <c r="BA34" s="34" t="n">
        <v>3.4</v>
      </c>
      <c r="BB34" s="34" t="n">
        <v>0.08</v>
      </c>
      <c r="BC34" s="34" t="s">
        <v>200</v>
      </c>
      <c r="BD34" s="34" t="s">
        <v>207</v>
      </c>
      <c r="BE34" s="34" t="n">
        <v>1</v>
      </c>
      <c r="BF34" s="34" t="n">
        <v>0</v>
      </c>
      <c r="BG34" s="34" t="n">
        <v>0</v>
      </c>
      <c r="BH34" s="34" t="n">
        <v>0</v>
      </c>
      <c r="BI34" s="34" t="n">
        <v>0</v>
      </c>
      <c r="BJ34" s="34"/>
      <c r="BK34" s="34" t="n">
        <v>2.6</v>
      </c>
      <c r="BL34" s="34" t="n">
        <v>1</v>
      </c>
      <c r="BM34" s="34" t="s">
        <v>200</v>
      </c>
      <c r="BN34" s="34" t="n">
        <v>2</v>
      </c>
      <c r="BO34" s="34" t="n">
        <v>0</v>
      </c>
      <c r="BP34" s="34" t="n">
        <v>2</v>
      </c>
      <c r="BQ34" s="34" t="s">
        <v>208</v>
      </c>
      <c r="BR34" s="34" t="s">
        <v>200</v>
      </c>
      <c r="BS34" s="34" t="n">
        <v>0.43</v>
      </c>
      <c r="BT34" s="34" t="n">
        <v>0</v>
      </c>
      <c r="BU34" s="34" t="n">
        <v>0.21</v>
      </c>
      <c r="BV34" s="34" t="n">
        <v>0.13</v>
      </c>
      <c r="BW34" s="34" t="n">
        <v>2</v>
      </c>
      <c r="BX34" s="34" t="n">
        <v>0</v>
      </c>
      <c r="BY34" s="34" t="n">
        <v>0</v>
      </c>
      <c r="BZ34" s="34" t="s">
        <v>200</v>
      </c>
      <c r="CA34" s="34" t="s">
        <v>202</v>
      </c>
      <c r="CB34" s="34"/>
      <c r="CC34" s="34" t="n">
        <v>1</v>
      </c>
      <c r="CD34" s="34" t="n">
        <v>0.11</v>
      </c>
      <c r="CE34" s="34" t="n">
        <v>0.72</v>
      </c>
      <c r="CF34" s="34" t="n">
        <v>0</v>
      </c>
      <c r="CG34" s="34" t="n">
        <v>1</v>
      </c>
      <c r="CH34" s="34" t="n">
        <v>35</v>
      </c>
      <c r="CI34" s="34" t="n">
        <v>2.3</v>
      </c>
      <c r="CJ34" s="34" t="n">
        <v>1923</v>
      </c>
      <c r="CK34" s="34" t="n">
        <v>6</v>
      </c>
      <c r="CL34" s="34" t="n">
        <v>0.36</v>
      </c>
      <c r="CM34" s="35" t="n">
        <v>0</v>
      </c>
    </row>
    <row r="35" customFormat="false" ht="15" hidden="false" customHeight="false" outlineLevel="0" collapsed="false">
      <c r="A35" s="3" t="s">
        <v>245</v>
      </c>
      <c r="B35" s="34" t="n">
        <v>49</v>
      </c>
      <c r="C35" s="34" t="s">
        <v>210</v>
      </c>
      <c r="D35" s="34" t="s">
        <v>198</v>
      </c>
      <c r="E35" s="34" t="n">
        <v>505</v>
      </c>
      <c r="F35" s="34" t="s">
        <v>199</v>
      </c>
      <c r="G35" s="34" t="s">
        <v>200</v>
      </c>
      <c r="H35" s="34" t="n">
        <v>9</v>
      </c>
      <c r="I35" s="34" t="n">
        <v>12</v>
      </c>
      <c r="J35" s="34" t="n">
        <v>33.6</v>
      </c>
      <c r="K35" s="34" t="n">
        <v>61</v>
      </c>
      <c r="L35" s="34" t="n">
        <v>6.7</v>
      </c>
      <c r="M35" s="34" t="n">
        <v>0.13</v>
      </c>
      <c r="N35" s="34" t="n">
        <v>0.38</v>
      </c>
      <c r="O35" s="34" t="n">
        <v>0.1</v>
      </c>
      <c r="P35" s="34" t="n">
        <v>50</v>
      </c>
      <c r="Q35" s="34" t="n">
        <v>3</v>
      </c>
      <c r="R35" s="34" t="n">
        <v>1</v>
      </c>
      <c r="S35" s="34" t="n">
        <v>12</v>
      </c>
      <c r="T35" s="34" t="n">
        <v>988</v>
      </c>
      <c r="U35" s="34" t="n">
        <v>1</v>
      </c>
      <c r="V35" s="34" t="n">
        <v>1</v>
      </c>
      <c r="W35" s="34" t="n">
        <v>1</v>
      </c>
      <c r="X35" s="34" t="n">
        <v>65.9</v>
      </c>
      <c r="Y35" s="34" t="n">
        <v>49</v>
      </c>
      <c r="Z35" s="34" t="n">
        <v>0</v>
      </c>
      <c r="AA35" s="34" t="n">
        <v>0.13</v>
      </c>
      <c r="AB35" s="34" t="n">
        <v>0.41</v>
      </c>
      <c r="AC35" s="34" t="n">
        <v>4</v>
      </c>
      <c r="AD35" s="34" t="n">
        <v>60</v>
      </c>
      <c r="AE35" s="34" t="n">
        <v>0</v>
      </c>
      <c r="AF35" s="34" t="n">
        <v>0.74</v>
      </c>
      <c r="AG35" s="34" t="n">
        <v>0</v>
      </c>
      <c r="AH35" s="34" t="n">
        <v>692</v>
      </c>
      <c r="AI35" s="34" t="n">
        <v>909</v>
      </c>
      <c r="AJ35" s="34" t="n">
        <v>1.31</v>
      </c>
      <c r="AK35" s="34" t="n">
        <v>7</v>
      </c>
      <c r="AL35" s="34" t="n">
        <v>0.7</v>
      </c>
      <c r="AM35" s="34" t="n">
        <v>9.9</v>
      </c>
      <c r="AN35" s="34" t="n">
        <v>3.8</v>
      </c>
      <c r="AO35" s="34" t="n">
        <v>0.95</v>
      </c>
      <c r="AP35" s="34" t="n">
        <v>356</v>
      </c>
      <c r="AQ35" s="34" t="n">
        <v>40</v>
      </c>
      <c r="AR35" s="34" t="n">
        <v>0.392</v>
      </c>
      <c r="AS35" s="34" t="n">
        <v>7</v>
      </c>
      <c r="AT35" s="34" t="n">
        <v>0.3</v>
      </c>
      <c r="AU35" s="34" t="n">
        <v>186</v>
      </c>
      <c r="AV35" s="34" t="n">
        <v>1671</v>
      </c>
      <c r="AW35" s="34" t="n">
        <v>0.119</v>
      </c>
      <c r="AX35" s="34" t="n">
        <v>3</v>
      </c>
      <c r="AY35" s="34" t="n">
        <v>0.2</v>
      </c>
      <c r="AZ35" s="34" t="n">
        <v>2.9</v>
      </c>
      <c r="BA35" s="34" t="n">
        <v>3.2</v>
      </c>
      <c r="BB35" s="34" t="n">
        <v>0.21</v>
      </c>
      <c r="BC35" s="34" t="s">
        <v>200</v>
      </c>
      <c r="BD35" s="34" t="s">
        <v>200</v>
      </c>
      <c r="BE35" s="34" t="n">
        <v>0</v>
      </c>
      <c r="BF35" s="34" t="n">
        <v>0</v>
      </c>
      <c r="BG35" s="34" t="n">
        <v>0</v>
      </c>
      <c r="BH35" s="34" t="n">
        <v>0</v>
      </c>
      <c r="BI35" s="34" t="n">
        <v>0</v>
      </c>
      <c r="BJ35" s="34"/>
      <c r="BK35" s="34" t="n">
        <v>6.7</v>
      </c>
      <c r="BL35" s="34" t="n">
        <v>0</v>
      </c>
      <c r="BM35" s="34" t="s">
        <v>200</v>
      </c>
      <c r="BN35" s="34" t="n">
        <v>2</v>
      </c>
      <c r="BO35" s="34" t="n">
        <v>1</v>
      </c>
      <c r="BP35" s="34" t="n">
        <v>1</v>
      </c>
      <c r="BQ35" s="34" t="s">
        <v>201</v>
      </c>
      <c r="BR35" s="34" t="s">
        <v>200</v>
      </c>
      <c r="BS35" s="34" t="n">
        <v>0.2</v>
      </c>
      <c r="BT35" s="34" t="n">
        <v>0</v>
      </c>
      <c r="BU35" s="34" t="n">
        <v>0.27</v>
      </c>
      <c r="BV35" s="34" t="n">
        <v>0.22</v>
      </c>
      <c r="BW35" s="34" t="n">
        <v>4</v>
      </c>
      <c r="BX35" s="34" t="n">
        <v>0</v>
      </c>
      <c r="BY35" s="34" t="n">
        <v>0</v>
      </c>
      <c r="BZ35" s="34" t="s">
        <v>200</v>
      </c>
      <c r="CA35" s="34" t="s">
        <v>202</v>
      </c>
      <c r="CB35" s="34"/>
      <c r="CC35" s="34" t="n">
        <v>2.1</v>
      </c>
      <c r="CD35" s="34" t="n">
        <v>0.1</v>
      </c>
      <c r="CE35" s="34" t="n">
        <v>0.71</v>
      </c>
      <c r="CF35" s="34" t="n">
        <v>0</v>
      </c>
      <c r="CG35" s="34" t="n">
        <v>1</v>
      </c>
      <c r="CH35" s="34" t="n">
        <v>-16</v>
      </c>
      <c r="CI35" s="34" t="n">
        <v>-5.3</v>
      </c>
      <c r="CJ35" s="34" t="n">
        <v>1050</v>
      </c>
      <c r="CK35" s="34" t="n">
        <v>6</v>
      </c>
      <c r="CL35" s="34" t="n">
        <v>0.46</v>
      </c>
      <c r="CM35" s="35" t="n">
        <v>0</v>
      </c>
    </row>
    <row r="36" customFormat="false" ht="15" hidden="false" customHeight="false" outlineLevel="0" collapsed="false">
      <c r="A36" s="3" t="s">
        <v>246</v>
      </c>
      <c r="B36" s="34" t="n">
        <v>43</v>
      </c>
      <c r="C36" s="34" t="s">
        <v>210</v>
      </c>
      <c r="D36" s="34" t="s">
        <v>215</v>
      </c>
      <c r="E36" s="34" t="n">
        <v>683</v>
      </c>
      <c r="F36" s="34" t="s">
        <v>199</v>
      </c>
      <c r="G36" s="34" t="s">
        <v>200</v>
      </c>
      <c r="H36" s="34" t="n">
        <v>8</v>
      </c>
      <c r="I36" s="34" t="n">
        <v>8</v>
      </c>
      <c r="J36" s="34" t="n">
        <v>48.1</v>
      </c>
      <c r="K36" s="34" t="n">
        <v>105</v>
      </c>
      <c r="L36" s="34" t="n">
        <v>6.4</v>
      </c>
      <c r="M36" s="34" t="n">
        <v>0</v>
      </c>
      <c r="N36" s="34" t="n">
        <v>0.24</v>
      </c>
      <c r="O36" s="34" t="n">
        <v>0.11</v>
      </c>
      <c r="P36" s="34" t="n">
        <v>105</v>
      </c>
      <c r="Q36" s="34" t="n">
        <v>1</v>
      </c>
      <c r="R36" s="34" t="n">
        <v>0.3</v>
      </c>
      <c r="S36" s="34" t="n">
        <v>1</v>
      </c>
      <c r="T36" s="34" t="n">
        <v>11</v>
      </c>
      <c r="U36" s="34" t="n">
        <v>0.12</v>
      </c>
      <c r="V36" s="34" t="n">
        <v>1</v>
      </c>
      <c r="W36" s="34" t="n">
        <v>0</v>
      </c>
      <c r="X36" s="34" t="n">
        <v>508</v>
      </c>
      <c r="Y36" s="34" t="n">
        <v>-51</v>
      </c>
      <c r="Z36" s="34" t="n">
        <v>1</v>
      </c>
      <c r="AA36" s="34" t="n">
        <v>0</v>
      </c>
      <c r="AB36" s="34" t="n">
        <v>0.17</v>
      </c>
      <c r="AC36" s="34" t="n">
        <v>2</v>
      </c>
      <c r="AD36" s="34" t="n">
        <v>151</v>
      </c>
      <c r="AE36" s="34" t="n">
        <v>1</v>
      </c>
      <c r="AF36" s="34" t="n">
        <v>0.71</v>
      </c>
      <c r="AG36" s="34" t="n">
        <v>0</v>
      </c>
      <c r="AH36" s="34" t="n">
        <v>40</v>
      </c>
      <c r="AI36" s="34" t="n">
        <v>8</v>
      </c>
      <c r="AJ36" s="34" t="n">
        <v>0.2</v>
      </c>
      <c r="AK36" s="34" t="n">
        <v>1</v>
      </c>
      <c r="AL36" s="34" t="n">
        <v>0.49</v>
      </c>
      <c r="AM36" s="34" t="n">
        <v>-5.5</v>
      </c>
      <c r="AN36" s="34" t="n">
        <v>0.5</v>
      </c>
      <c r="AO36" s="34" t="n">
        <v>0.56</v>
      </c>
      <c r="AP36" s="34" t="n">
        <v>5</v>
      </c>
      <c r="AQ36" s="34" t="n">
        <v>1</v>
      </c>
      <c r="AR36" s="34" t="n">
        <v>0.625</v>
      </c>
      <c r="AS36" s="34" t="n">
        <v>-36</v>
      </c>
      <c r="AT36" s="34" t="n">
        <v>0</v>
      </c>
      <c r="AU36" s="34" t="n">
        <v>0</v>
      </c>
      <c r="AV36" s="34" t="n">
        <v>66</v>
      </c>
      <c r="AW36" s="34" t="n">
        <v>0.002</v>
      </c>
      <c r="AX36" s="34" t="n">
        <v>1</v>
      </c>
      <c r="AY36" s="34" t="n">
        <v>0.25</v>
      </c>
      <c r="AZ36" s="34" t="n">
        <v>3.4</v>
      </c>
      <c r="BA36" s="34" t="n">
        <v>1</v>
      </c>
      <c r="BB36" s="34" t="n">
        <v>0.07</v>
      </c>
      <c r="BC36" s="34" t="s">
        <v>200</v>
      </c>
      <c r="BD36" s="34" t="s">
        <v>200</v>
      </c>
      <c r="BE36" s="34" t="n">
        <v>0</v>
      </c>
      <c r="BF36" s="34" t="n">
        <v>0</v>
      </c>
      <c r="BG36" s="34" t="n">
        <v>0</v>
      </c>
      <c r="BH36" s="34" t="n">
        <v>0</v>
      </c>
      <c r="BI36" s="34" t="n">
        <v>0</v>
      </c>
      <c r="BJ36" s="34"/>
      <c r="BK36" s="34" t="n">
        <v>6.7</v>
      </c>
      <c r="BL36" s="34" t="n">
        <v>0</v>
      </c>
      <c r="BM36" s="34" t="s">
        <v>200</v>
      </c>
      <c r="BN36" s="34" t="n">
        <v>1</v>
      </c>
      <c r="BO36" s="34" t="n">
        <v>0</v>
      </c>
      <c r="BP36" s="34" t="n">
        <v>0</v>
      </c>
      <c r="BQ36" s="34" t="s">
        <v>208</v>
      </c>
      <c r="BR36" s="34" t="s">
        <v>200</v>
      </c>
      <c r="BS36" s="34" t="n">
        <v>0</v>
      </c>
      <c r="BT36" s="34" t="n">
        <v>0</v>
      </c>
      <c r="BU36" s="34" t="n">
        <v>0.05</v>
      </c>
      <c r="BV36" s="34" t="n">
        <v>0.08</v>
      </c>
      <c r="BW36" s="34" t="n">
        <v>0</v>
      </c>
      <c r="BX36" s="34" t="n">
        <v>0</v>
      </c>
      <c r="BY36" s="34" t="n">
        <v>0</v>
      </c>
      <c r="BZ36" s="34" t="s">
        <v>200</v>
      </c>
      <c r="CA36" s="34" t="s">
        <v>202</v>
      </c>
      <c r="CB36" s="34"/>
      <c r="CC36" s="34" t="n">
        <v>0.2</v>
      </c>
      <c r="CD36" s="34" t="n">
        <v>0</v>
      </c>
      <c r="CE36" s="34" t="n">
        <v>0.41</v>
      </c>
      <c r="CF36" s="34" t="n">
        <v>0</v>
      </c>
      <c r="CG36" s="34" t="n">
        <v>1</v>
      </c>
      <c r="CH36" s="34" t="n">
        <v>-62</v>
      </c>
      <c r="CI36" s="34" t="n">
        <v>-3.8</v>
      </c>
      <c r="CJ36" s="34" t="n">
        <v>5</v>
      </c>
      <c r="CK36" s="34" t="n">
        <v>6</v>
      </c>
      <c r="CL36" s="34" t="n">
        <v>0.05</v>
      </c>
      <c r="CM36" s="35" t="n">
        <v>0</v>
      </c>
    </row>
    <row r="37" customFormat="false" ht="15" hidden="false" customHeight="false" outlineLevel="0" collapsed="false">
      <c r="A37" s="3" t="s">
        <v>247</v>
      </c>
      <c r="B37" s="34" t="n">
        <v>53</v>
      </c>
      <c r="C37" s="34" t="s">
        <v>197</v>
      </c>
      <c r="D37" s="34" t="s">
        <v>227</v>
      </c>
      <c r="E37" s="34" t="n">
        <v>1006</v>
      </c>
      <c r="F37" s="34" t="s">
        <v>199</v>
      </c>
      <c r="G37" s="34" t="s">
        <v>200</v>
      </c>
      <c r="H37" s="34" t="n">
        <v>3</v>
      </c>
      <c r="I37" s="34" t="n">
        <v>4</v>
      </c>
      <c r="J37" s="34" t="n">
        <v>45.2</v>
      </c>
      <c r="K37" s="34" t="n">
        <v>124</v>
      </c>
      <c r="L37" s="34" t="n">
        <v>3</v>
      </c>
      <c r="M37" s="34" t="n">
        <v>0.06</v>
      </c>
      <c r="N37" s="34" t="n">
        <v>0.33</v>
      </c>
      <c r="O37" s="34" t="n">
        <v>0.16</v>
      </c>
      <c r="P37" s="34" t="n">
        <v>90</v>
      </c>
      <c r="Q37" s="34" t="n">
        <v>2</v>
      </c>
      <c r="R37" s="34" t="n">
        <v>0.1</v>
      </c>
      <c r="S37" s="34" t="n">
        <v>5</v>
      </c>
      <c r="T37" s="34" t="n">
        <v>50</v>
      </c>
      <c r="U37" s="34" t="n">
        <v>1.25</v>
      </c>
      <c r="V37" s="34" t="n">
        <v>1</v>
      </c>
      <c r="W37" s="34" t="n">
        <v>1</v>
      </c>
      <c r="X37" s="34" t="n">
        <v>185.2</v>
      </c>
      <c r="Y37" s="34" t="n">
        <v>-7</v>
      </c>
      <c r="Z37" s="34" t="n">
        <v>0</v>
      </c>
      <c r="AA37" s="34" t="n">
        <v>0</v>
      </c>
      <c r="AB37" s="34" t="n">
        <v>0.48</v>
      </c>
      <c r="AC37" s="34" t="n">
        <v>4</v>
      </c>
      <c r="AD37" s="34" t="n">
        <v>38</v>
      </c>
      <c r="AE37" s="34" t="n">
        <v>0</v>
      </c>
      <c r="AF37" s="34" t="n">
        <v>0.85</v>
      </c>
      <c r="AG37" s="34" t="n">
        <v>0</v>
      </c>
      <c r="AH37" s="34" t="n">
        <v>240</v>
      </c>
      <c r="AI37" s="34" t="n">
        <v>471</v>
      </c>
      <c r="AJ37" s="34" t="n">
        <v>1.96</v>
      </c>
      <c r="AK37" s="34" t="n">
        <v>9</v>
      </c>
      <c r="AL37" s="34" t="n">
        <v>0.68</v>
      </c>
      <c r="AM37" s="34" t="n">
        <v>2.8</v>
      </c>
      <c r="AN37" s="34" t="n">
        <v>3.8</v>
      </c>
      <c r="AO37" s="34" t="n">
        <v>0.71</v>
      </c>
      <c r="AP37" s="34" t="n">
        <v>16</v>
      </c>
      <c r="AQ37" s="34" t="n">
        <v>5</v>
      </c>
      <c r="AR37" s="34" t="n">
        <v>0.034</v>
      </c>
      <c r="AS37" s="34" t="n">
        <v>-21</v>
      </c>
      <c r="AT37" s="34" t="n">
        <v>0</v>
      </c>
      <c r="AU37" s="34" t="n">
        <v>5</v>
      </c>
      <c r="AV37" s="34" t="n">
        <v>322</v>
      </c>
      <c r="AW37" s="34" t="n">
        <v>0.005</v>
      </c>
      <c r="AX37" s="34" t="n">
        <v>1</v>
      </c>
      <c r="AY37" s="34" t="n">
        <v>0.18</v>
      </c>
      <c r="AZ37" s="34" t="n">
        <v>2.6</v>
      </c>
      <c r="BA37" s="34" t="n">
        <v>1</v>
      </c>
      <c r="BB37" s="34" t="n">
        <v>0.49</v>
      </c>
      <c r="BC37" s="34" t="s">
        <v>200</v>
      </c>
      <c r="BD37" s="34" t="s">
        <v>200</v>
      </c>
      <c r="BE37" s="34" t="n">
        <v>0</v>
      </c>
      <c r="BF37" s="34" t="n">
        <v>0</v>
      </c>
      <c r="BG37" s="34" t="n">
        <v>0</v>
      </c>
      <c r="BH37" s="34" t="n">
        <v>0</v>
      </c>
      <c r="BI37" s="34" t="n">
        <v>0</v>
      </c>
      <c r="BJ37" s="34"/>
      <c r="BK37" s="34" t="n">
        <v>7.7</v>
      </c>
      <c r="BL37" s="34" t="n">
        <v>0</v>
      </c>
      <c r="BM37" s="34" t="s">
        <v>200</v>
      </c>
      <c r="BN37" s="34" t="n">
        <v>1</v>
      </c>
      <c r="BO37" s="34" t="n">
        <v>0</v>
      </c>
      <c r="BP37" s="34" t="n">
        <v>1</v>
      </c>
      <c r="BQ37" s="34" t="s">
        <v>201</v>
      </c>
      <c r="BR37" s="34" t="s">
        <v>200</v>
      </c>
      <c r="BS37" s="34" t="n">
        <v>0.31</v>
      </c>
      <c r="BT37" s="34" t="n">
        <v>0</v>
      </c>
      <c r="BU37" s="34" t="n">
        <v>0.2</v>
      </c>
      <c r="BV37" s="34" t="n">
        <v>0.18</v>
      </c>
      <c r="BW37" s="34" t="n">
        <v>1</v>
      </c>
      <c r="BX37" s="34" t="n">
        <v>0</v>
      </c>
      <c r="BY37" s="34" t="n">
        <v>0</v>
      </c>
      <c r="BZ37" s="34" t="s">
        <v>200</v>
      </c>
      <c r="CA37" s="34" t="s">
        <v>202</v>
      </c>
      <c r="CB37" s="34" t="n">
        <v>5</v>
      </c>
      <c r="CC37" s="34" t="n">
        <v>2.4</v>
      </c>
      <c r="CD37" s="34" t="n">
        <v>0.01</v>
      </c>
      <c r="CE37" s="34" t="n">
        <v>0.19</v>
      </c>
      <c r="CF37" s="34" t="n">
        <v>0</v>
      </c>
      <c r="CG37" s="34" t="n">
        <v>2</v>
      </c>
      <c r="CH37" s="34" t="n">
        <v>77</v>
      </c>
      <c r="CI37" s="34" t="n">
        <v>0.4</v>
      </c>
      <c r="CJ37" s="34" t="n">
        <v>349</v>
      </c>
      <c r="CK37" s="34" t="n">
        <v>6</v>
      </c>
      <c r="CL37" s="34" t="n">
        <v>0.27</v>
      </c>
      <c r="CM37" s="35" t="n">
        <v>0</v>
      </c>
    </row>
    <row r="38" customFormat="false" ht="15" hidden="false" customHeight="false" outlineLevel="0" collapsed="false">
      <c r="A38" s="3" t="s">
        <v>248</v>
      </c>
      <c r="B38" s="34" t="n">
        <v>49</v>
      </c>
      <c r="C38" s="34" t="s">
        <v>197</v>
      </c>
      <c r="D38" s="34" t="s">
        <v>215</v>
      </c>
      <c r="E38" s="34" t="n">
        <v>628</v>
      </c>
      <c r="F38" s="34" t="s">
        <v>211</v>
      </c>
      <c r="G38" s="34" t="s">
        <v>200</v>
      </c>
      <c r="H38" s="34" t="n">
        <v>4</v>
      </c>
      <c r="I38" s="34" t="n">
        <v>4</v>
      </c>
      <c r="J38" s="34" t="n">
        <v>39</v>
      </c>
      <c r="K38" s="34" t="n">
        <v>96</v>
      </c>
      <c r="L38" s="34" t="n">
        <v>2.6</v>
      </c>
      <c r="M38" s="34" t="n">
        <v>0.04</v>
      </c>
      <c r="N38" s="34" t="n">
        <v>0.29</v>
      </c>
      <c r="O38" s="34" t="n">
        <v>0.06</v>
      </c>
      <c r="P38" s="34" t="n">
        <v>79</v>
      </c>
      <c r="Q38" s="34" t="n">
        <v>1</v>
      </c>
      <c r="R38" s="34" t="n">
        <v>0.4</v>
      </c>
      <c r="S38" s="34" t="n">
        <v>3</v>
      </c>
      <c r="T38" s="34" t="n">
        <v>33</v>
      </c>
      <c r="U38" s="34" t="n">
        <v>0.75</v>
      </c>
      <c r="V38" s="34" t="n">
        <v>1</v>
      </c>
      <c r="W38" s="34" t="n">
        <v>0</v>
      </c>
      <c r="X38" s="34" t="n">
        <v>253.1</v>
      </c>
      <c r="Y38" s="34" t="n">
        <v>-11</v>
      </c>
      <c r="Z38" s="34" t="n">
        <v>0</v>
      </c>
      <c r="AA38" s="34" t="n">
        <v>0.07</v>
      </c>
      <c r="AB38" s="34" t="n">
        <v>0.26</v>
      </c>
      <c r="AC38" s="34" t="n">
        <v>2</v>
      </c>
      <c r="AD38" s="34" t="n">
        <v>116</v>
      </c>
      <c r="AE38" s="34" t="n">
        <v>0</v>
      </c>
      <c r="AF38" s="34" t="n">
        <v>0.87</v>
      </c>
      <c r="AG38" s="34" t="n">
        <v>0</v>
      </c>
      <c r="AH38" s="34" t="n">
        <v>64</v>
      </c>
      <c r="AI38" s="34" t="n">
        <v>113</v>
      </c>
      <c r="AJ38" s="34" t="n">
        <v>1.77</v>
      </c>
      <c r="AK38" s="34" t="n">
        <v>16</v>
      </c>
      <c r="AL38" s="34" t="n">
        <v>0.35</v>
      </c>
      <c r="AM38" s="34" t="n">
        <v>-0.3</v>
      </c>
      <c r="AN38" s="34" t="n">
        <v>3.5</v>
      </c>
      <c r="AO38" s="34" t="n">
        <v>0.82</v>
      </c>
      <c r="AP38" s="34" t="n">
        <v>7</v>
      </c>
      <c r="AQ38" s="34" t="n">
        <v>2</v>
      </c>
      <c r="AR38" s="34" t="n">
        <v>0.062</v>
      </c>
      <c r="AS38" s="34" t="n">
        <v>21</v>
      </c>
      <c r="AT38" s="34" t="n">
        <v>0.03</v>
      </c>
      <c r="AU38" s="34" t="n">
        <v>3</v>
      </c>
      <c r="AV38" s="34" t="n">
        <v>68</v>
      </c>
      <c r="AW38" s="34" t="n">
        <v>0.001</v>
      </c>
      <c r="AX38" s="34" t="n">
        <v>1</v>
      </c>
      <c r="AY38" s="34" t="n">
        <v>0.5</v>
      </c>
      <c r="AZ38" s="34" t="n">
        <v>2.6</v>
      </c>
      <c r="BA38" s="34" t="n">
        <v>1</v>
      </c>
      <c r="BB38" s="34" t="n">
        <v>0</v>
      </c>
      <c r="BC38" s="34" t="s">
        <v>200</v>
      </c>
      <c r="BD38" s="34" t="s">
        <v>207</v>
      </c>
      <c r="BE38" s="34" t="n">
        <v>0</v>
      </c>
      <c r="BF38" s="34" t="n">
        <v>0</v>
      </c>
      <c r="BG38" s="34" t="n">
        <v>1</v>
      </c>
      <c r="BH38" s="34" t="n">
        <v>0</v>
      </c>
      <c r="BI38" s="34" t="n">
        <v>0</v>
      </c>
      <c r="BJ38" s="34"/>
      <c r="BK38" s="34" t="n">
        <v>6.6</v>
      </c>
      <c r="BL38" s="34" t="n">
        <v>0</v>
      </c>
      <c r="BM38" s="34" t="s">
        <v>200</v>
      </c>
      <c r="BN38" s="34" t="n">
        <v>1</v>
      </c>
      <c r="BO38" s="34" t="n">
        <v>0</v>
      </c>
      <c r="BP38" s="34" t="n">
        <v>1</v>
      </c>
      <c r="BQ38" s="34" t="s">
        <v>201</v>
      </c>
      <c r="BR38" s="34" t="s">
        <v>200</v>
      </c>
      <c r="BS38" s="34" t="n">
        <v>0.23</v>
      </c>
      <c r="BT38" s="34" t="n">
        <v>0</v>
      </c>
      <c r="BU38" s="34" t="n">
        <v>0</v>
      </c>
      <c r="BV38" s="34" t="n">
        <v>0.23</v>
      </c>
      <c r="BW38" s="34" t="n">
        <v>0</v>
      </c>
      <c r="BX38" s="34" t="n">
        <v>0</v>
      </c>
      <c r="BY38" s="34" t="n">
        <v>0</v>
      </c>
      <c r="BZ38" s="34" t="s">
        <v>200</v>
      </c>
      <c r="CA38" s="34" t="s">
        <v>202</v>
      </c>
      <c r="CB38" s="34"/>
      <c r="CC38" s="34" t="n">
        <v>0.3</v>
      </c>
      <c r="CD38" s="34" t="n">
        <v>0</v>
      </c>
      <c r="CE38" s="34" t="n">
        <v>0.67</v>
      </c>
      <c r="CF38" s="34" t="n">
        <v>0</v>
      </c>
      <c r="CG38" s="34" t="n">
        <v>1</v>
      </c>
      <c r="CH38" s="34" t="n">
        <v>-20</v>
      </c>
      <c r="CI38" s="34" t="n">
        <v>-1.9</v>
      </c>
      <c r="CJ38" s="34" t="n">
        <v>82</v>
      </c>
      <c r="CK38" s="34" t="n">
        <v>6</v>
      </c>
      <c r="CL38" s="34" t="n">
        <v>0.05</v>
      </c>
      <c r="CM38" s="35" t="n">
        <v>0</v>
      </c>
    </row>
    <row r="39" customFormat="false" ht="15" hidden="false" customHeight="false" outlineLevel="0" collapsed="false">
      <c r="A39" s="3" t="s">
        <v>249</v>
      </c>
      <c r="B39" s="34" t="n">
        <v>31</v>
      </c>
      <c r="C39" s="34" t="s">
        <v>210</v>
      </c>
      <c r="D39" s="34" t="s">
        <v>198</v>
      </c>
      <c r="E39" s="34" t="n">
        <v>317</v>
      </c>
      <c r="F39" s="34" t="s">
        <v>211</v>
      </c>
      <c r="G39" s="34" t="s">
        <v>200</v>
      </c>
      <c r="H39" s="34" t="n">
        <v>3</v>
      </c>
      <c r="I39" s="34" t="n">
        <v>4</v>
      </c>
      <c r="J39" s="34" t="n">
        <v>51.4</v>
      </c>
      <c r="K39" s="34" t="n">
        <v>79</v>
      </c>
      <c r="L39" s="34" t="n">
        <v>3.4</v>
      </c>
      <c r="M39" s="34" t="n">
        <v>0.09</v>
      </c>
      <c r="N39" s="34" t="n">
        <v>0.58</v>
      </c>
      <c r="O39" s="34" t="n">
        <v>0.15</v>
      </c>
      <c r="P39" s="34" t="n">
        <v>48</v>
      </c>
      <c r="Q39" s="34" t="n">
        <v>3</v>
      </c>
      <c r="R39" s="34" t="n">
        <v>0.6</v>
      </c>
      <c r="S39" s="34" t="n">
        <v>1</v>
      </c>
      <c r="T39" s="34" t="n">
        <v>22</v>
      </c>
      <c r="U39" s="34" t="n">
        <v>0.25</v>
      </c>
      <c r="V39" s="34" t="n">
        <v>1</v>
      </c>
      <c r="W39" s="34" t="n">
        <v>0</v>
      </c>
      <c r="X39" s="34" t="n">
        <v>684.3</v>
      </c>
      <c r="Y39" s="34" t="n">
        <v>-47</v>
      </c>
      <c r="Z39" s="34" t="n">
        <v>1</v>
      </c>
      <c r="AA39" s="34" t="n">
        <v>0.09</v>
      </c>
      <c r="AB39" s="34" t="n">
        <v>0.72</v>
      </c>
      <c r="AC39" s="34" t="n">
        <v>3</v>
      </c>
      <c r="AD39" s="34" t="n">
        <v>123</v>
      </c>
      <c r="AE39" s="34" t="n">
        <v>0</v>
      </c>
      <c r="AF39" s="34" t="n">
        <v>0.91</v>
      </c>
      <c r="AG39" s="34" t="n">
        <v>0</v>
      </c>
      <c r="AH39" s="34" t="n">
        <v>83</v>
      </c>
      <c r="AI39" s="34" t="n">
        <v>101</v>
      </c>
      <c r="AJ39" s="34" t="n">
        <v>1.22</v>
      </c>
      <c r="AK39" s="34" t="n">
        <v>13</v>
      </c>
      <c r="AL39" s="34" t="n">
        <v>0.34</v>
      </c>
      <c r="AM39" s="34" t="n">
        <v>-2.9</v>
      </c>
      <c r="AN39" s="34" t="n">
        <v>4.9</v>
      </c>
      <c r="AO39" s="34" t="n">
        <v>0.83</v>
      </c>
      <c r="AP39" s="34" t="n">
        <v>3</v>
      </c>
      <c r="AQ39" s="34" t="n">
        <v>1</v>
      </c>
      <c r="AR39" s="34" t="n">
        <v>0.03</v>
      </c>
      <c r="AS39" s="34" t="n">
        <v>11</v>
      </c>
      <c r="AT39" s="34" t="n">
        <v>0</v>
      </c>
      <c r="AU39" s="34" t="n">
        <v>1</v>
      </c>
      <c r="AV39" s="34" t="n">
        <v>16</v>
      </c>
      <c r="AW39" s="34" t="n">
        <v>0</v>
      </c>
      <c r="AX39" s="34" t="n">
        <v>1</v>
      </c>
      <c r="AY39" s="34" t="n">
        <v>0.32</v>
      </c>
      <c r="AZ39" s="34" t="n">
        <v>1.3</v>
      </c>
      <c r="BA39" s="34" t="n">
        <v>1</v>
      </c>
      <c r="BB39" s="34" t="n">
        <v>0.27</v>
      </c>
      <c r="BC39" s="34" t="s">
        <v>200</v>
      </c>
      <c r="BD39" s="34" t="s">
        <v>200</v>
      </c>
      <c r="BE39" s="34" t="n">
        <v>0</v>
      </c>
      <c r="BF39" s="34" t="n">
        <v>0</v>
      </c>
      <c r="BG39" s="34" t="n">
        <v>0</v>
      </c>
      <c r="BH39" s="34" t="n">
        <v>0</v>
      </c>
      <c r="BI39" s="34" t="n">
        <v>0</v>
      </c>
      <c r="BJ39" s="34"/>
      <c r="BK39" s="34" t="n">
        <v>8.5</v>
      </c>
      <c r="BL39" s="34" t="n">
        <v>0</v>
      </c>
      <c r="BM39" s="34" t="s">
        <v>200</v>
      </c>
      <c r="BN39" s="34" t="n">
        <v>1</v>
      </c>
      <c r="BO39" s="34" t="n">
        <v>0</v>
      </c>
      <c r="BP39" s="34" t="n">
        <v>0</v>
      </c>
      <c r="BQ39" s="34" t="s">
        <v>208</v>
      </c>
      <c r="BR39" s="34" t="s">
        <v>200</v>
      </c>
      <c r="BS39" s="34" t="n">
        <v>0.34</v>
      </c>
      <c r="BT39" s="34" t="n">
        <v>0</v>
      </c>
      <c r="BU39" s="34" t="n">
        <v>0.2</v>
      </c>
      <c r="BV39" s="34" t="n">
        <v>0.18</v>
      </c>
      <c r="BW39" s="34" t="n">
        <v>0</v>
      </c>
      <c r="BX39" s="34" t="n">
        <v>0</v>
      </c>
      <c r="BY39" s="34" t="n">
        <v>0</v>
      </c>
      <c r="BZ39" s="34" t="s">
        <v>200</v>
      </c>
      <c r="CA39" s="34" t="s">
        <v>202</v>
      </c>
      <c r="CB39" s="34"/>
      <c r="CC39" s="34" t="n">
        <v>1.3</v>
      </c>
      <c r="CD39" s="34" t="n">
        <v>0.13</v>
      </c>
      <c r="CE39" s="34" t="n">
        <v>0.67</v>
      </c>
      <c r="CF39" s="34" t="n">
        <v>0</v>
      </c>
      <c r="CG39" s="34" t="n">
        <v>1</v>
      </c>
      <c r="CH39" s="34" t="n">
        <v>-21</v>
      </c>
      <c r="CI39" s="34" t="n">
        <v>0.4</v>
      </c>
      <c r="CJ39" s="34" t="n">
        <v>84</v>
      </c>
      <c r="CK39" s="34" t="n">
        <v>6</v>
      </c>
      <c r="CL39" s="34" t="n">
        <v>0.32</v>
      </c>
      <c r="CM39" s="35" t="n">
        <v>0</v>
      </c>
    </row>
    <row r="40" customFormat="false" ht="15" hidden="false" customHeight="false" outlineLevel="0" collapsed="false">
      <c r="A40" s="3" t="s">
        <v>250</v>
      </c>
      <c r="B40" s="34" t="n">
        <v>48</v>
      </c>
      <c r="C40" s="34" t="s">
        <v>197</v>
      </c>
      <c r="D40" s="34" t="s">
        <v>215</v>
      </c>
      <c r="E40" s="34" t="n">
        <v>69</v>
      </c>
      <c r="F40" s="34" t="s">
        <v>211</v>
      </c>
      <c r="G40" s="34" t="s">
        <v>200</v>
      </c>
      <c r="H40" s="34" t="n">
        <v>18</v>
      </c>
      <c r="I40" s="34" t="n">
        <v>44</v>
      </c>
      <c r="J40" s="34" t="n">
        <v>4</v>
      </c>
      <c r="K40" s="34" t="n">
        <v>12</v>
      </c>
      <c r="L40" s="34" t="n">
        <v>2.9</v>
      </c>
      <c r="M40" s="34" t="n">
        <v>0.16</v>
      </c>
      <c r="N40" s="34" t="n">
        <v>0.23</v>
      </c>
      <c r="O40" s="34" t="n">
        <v>0.24</v>
      </c>
      <c r="P40" s="34" t="n">
        <v>9</v>
      </c>
      <c r="Q40" s="34" t="n">
        <v>6</v>
      </c>
      <c r="R40" s="34" t="n">
        <v>1.5</v>
      </c>
      <c r="S40" s="34" t="n">
        <v>65</v>
      </c>
      <c r="T40" s="34" t="n">
        <v>6436</v>
      </c>
      <c r="U40" s="34" t="n">
        <v>1.48</v>
      </c>
      <c r="V40" s="34" t="n">
        <v>3</v>
      </c>
      <c r="W40" s="34" t="n">
        <v>3</v>
      </c>
      <c r="X40" s="34" t="n">
        <v>9.5</v>
      </c>
      <c r="Y40" s="34" t="n">
        <v>12</v>
      </c>
      <c r="Z40" s="34" t="n">
        <v>1</v>
      </c>
      <c r="AA40" s="34" t="n">
        <v>0.18</v>
      </c>
      <c r="AB40" s="34" t="n">
        <v>0.66</v>
      </c>
      <c r="AC40" s="34" t="n">
        <v>3</v>
      </c>
      <c r="AD40" s="34" t="n">
        <v>109</v>
      </c>
      <c r="AE40" s="34" t="n">
        <v>1</v>
      </c>
      <c r="AF40" s="34" t="n">
        <v>0.46</v>
      </c>
      <c r="AG40" s="34" t="n">
        <v>1</v>
      </c>
      <c r="AH40" s="34" t="n">
        <v>2536</v>
      </c>
      <c r="AI40" s="34" t="n">
        <v>2771</v>
      </c>
      <c r="AJ40" s="34" t="n">
        <v>1.09</v>
      </c>
      <c r="AK40" s="34" t="n">
        <v>9</v>
      </c>
      <c r="AL40" s="34" t="n">
        <v>1</v>
      </c>
      <c r="AM40" s="34" t="n">
        <v>7.3</v>
      </c>
      <c r="AN40" s="34" t="n">
        <v>7.3</v>
      </c>
      <c r="AO40" s="34" t="n">
        <v>1.32</v>
      </c>
      <c r="AP40" s="34" t="n">
        <v>3853</v>
      </c>
      <c r="AQ40" s="34" t="n">
        <v>214</v>
      </c>
      <c r="AR40" s="34" t="n">
        <v>1.39</v>
      </c>
      <c r="AS40" s="34" t="n">
        <v>29</v>
      </c>
      <c r="AT40" s="34" t="n">
        <v>0.38</v>
      </c>
      <c r="AU40" s="34" t="n">
        <v>1245</v>
      </c>
      <c r="AV40" s="34" t="n">
        <v>6659</v>
      </c>
      <c r="AW40" s="34" t="n">
        <v>0.642</v>
      </c>
      <c r="AX40" s="34" t="n">
        <v>1</v>
      </c>
      <c r="AY40" s="34" t="n">
        <v>0.65</v>
      </c>
      <c r="AZ40" s="34" t="n">
        <v>3</v>
      </c>
      <c r="BA40" s="34" t="n">
        <v>3.5</v>
      </c>
      <c r="BB40" s="34" t="n">
        <v>0.37</v>
      </c>
      <c r="BC40" s="34" t="s">
        <v>200</v>
      </c>
      <c r="BD40" s="34" t="s">
        <v>207</v>
      </c>
      <c r="BE40" s="34" t="n">
        <v>1</v>
      </c>
      <c r="BF40" s="34" t="n">
        <v>1</v>
      </c>
      <c r="BG40" s="34" t="n">
        <v>0</v>
      </c>
      <c r="BH40" s="34" t="n">
        <v>1</v>
      </c>
      <c r="BI40" s="34" t="n">
        <v>1</v>
      </c>
      <c r="BJ40" s="34" t="s">
        <v>251</v>
      </c>
      <c r="BK40" s="34" t="n">
        <v>3.7</v>
      </c>
      <c r="BL40" s="34" t="n">
        <v>1</v>
      </c>
      <c r="BM40" s="34" t="s">
        <v>200</v>
      </c>
      <c r="BN40" s="34" t="n">
        <v>2</v>
      </c>
      <c r="BO40" s="34" t="n">
        <v>0</v>
      </c>
      <c r="BP40" s="34" t="n">
        <v>2</v>
      </c>
      <c r="BQ40" s="34" t="s">
        <v>201</v>
      </c>
      <c r="BR40" s="34" t="s">
        <v>200</v>
      </c>
      <c r="BS40" s="34" t="n">
        <v>0.43</v>
      </c>
      <c r="BT40" s="34" t="n">
        <v>1</v>
      </c>
      <c r="BU40" s="34" t="n">
        <v>0.48</v>
      </c>
      <c r="BV40" s="34" t="n">
        <v>0.37</v>
      </c>
      <c r="BW40" s="34" t="n">
        <v>3</v>
      </c>
      <c r="BX40" s="34" t="n">
        <v>1</v>
      </c>
      <c r="BY40" s="34" t="n">
        <v>0</v>
      </c>
      <c r="BZ40" s="34" t="s">
        <v>200</v>
      </c>
      <c r="CA40" s="34" t="s">
        <v>204</v>
      </c>
      <c r="CB40" s="34" t="n">
        <v>10</v>
      </c>
      <c r="CC40" s="34" t="n">
        <v>2.4</v>
      </c>
      <c r="CD40" s="34" t="n">
        <v>0.2</v>
      </c>
      <c r="CE40" s="34" t="n">
        <v>0.76</v>
      </c>
      <c r="CF40" s="34" t="n">
        <v>1</v>
      </c>
      <c r="CG40" s="34" t="n">
        <v>2</v>
      </c>
      <c r="CH40" s="34" t="n">
        <v>46</v>
      </c>
      <c r="CI40" s="34" t="n">
        <v>7.9</v>
      </c>
      <c r="CJ40" s="34" t="n">
        <v>4344</v>
      </c>
      <c r="CK40" s="34" t="n">
        <v>2</v>
      </c>
      <c r="CL40" s="34" t="n">
        <v>0.72</v>
      </c>
      <c r="CM40" s="35" t="n">
        <v>0</v>
      </c>
    </row>
    <row r="41" customFormat="false" ht="15" hidden="false" customHeight="false" outlineLevel="0" collapsed="false">
      <c r="A41" s="3" t="s">
        <v>252</v>
      </c>
      <c r="B41" s="34" t="n">
        <v>61</v>
      </c>
      <c r="C41" s="34" t="s">
        <v>210</v>
      </c>
      <c r="D41" s="34" t="s">
        <v>206</v>
      </c>
      <c r="E41" s="34" t="n">
        <v>829</v>
      </c>
      <c r="F41" s="34" t="s">
        <v>211</v>
      </c>
      <c r="G41" s="34" t="s">
        <v>200</v>
      </c>
      <c r="H41" s="34" t="n">
        <v>1</v>
      </c>
      <c r="I41" s="34" t="n">
        <v>1</v>
      </c>
      <c r="J41" s="34" t="n">
        <v>46.6</v>
      </c>
      <c r="K41" s="34" t="n">
        <v>115</v>
      </c>
      <c r="L41" s="34" t="n">
        <v>0.8</v>
      </c>
      <c r="M41" s="34" t="n">
        <v>0.04</v>
      </c>
      <c r="N41" s="34" t="n">
        <v>0.44</v>
      </c>
      <c r="O41" s="34" t="n">
        <v>0</v>
      </c>
      <c r="P41" s="34" t="n">
        <v>107</v>
      </c>
      <c r="Q41" s="34" t="n">
        <v>1</v>
      </c>
      <c r="R41" s="34" t="n">
        <v>0.1</v>
      </c>
      <c r="S41" s="34" t="n">
        <v>1</v>
      </c>
      <c r="T41" s="34" t="n">
        <v>32</v>
      </c>
      <c r="U41" s="34" t="n">
        <v>1</v>
      </c>
      <c r="V41" s="34" t="n">
        <v>1</v>
      </c>
      <c r="W41" s="34" t="n">
        <v>1</v>
      </c>
      <c r="X41" s="34" t="n">
        <v>606.6</v>
      </c>
      <c r="Y41" s="34" t="n">
        <v>-11</v>
      </c>
      <c r="Z41" s="34" t="n">
        <v>1</v>
      </c>
      <c r="AA41" s="34" t="n">
        <v>0</v>
      </c>
      <c r="AB41" s="34" t="n">
        <v>0</v>
      </c>
      <c r="AC41" s="34" t="n">
        <v>3</v>
      </c>
      <c r="AD41" s="34" t="n">
        <v>35</v>
      </c>
      <c r="AE41" s="34" t="n">
        <v>0</v>
      </c>
      <c r="AF41" s="34" t="n">
        <v>0.57</v>
      </c>
      <c r="AG41" s="34" t="n">
        <v>0</v>
      </c>
      <c r="AH41" s="34" t="n">
        <v>13</v>
      </c>
      <c r="AI41" s="34" t="n">
        <v>9</v>
      </c>
      <c r="AJ41" s="34" t="n">
        <v>0.69</v>
      </c>
      <c r="AK41" s="34" t="n">
        <v>5</v>
      </c>
      <c r="AL41" s="34" t="n">
        <v>0.48</v>
      </c>
      <c r="AM41" s="34" t="n">
        <v>-2.2</v>
      </c>
      <c r="AN41" s="34" t="n">
        <v>3.5</v>
      </c>
      <c r="AO41" s="34" t="n">
        <v>0.72</v>
      </c>
      <c r="AP41" s="34" t="n">
        <v>15</v>
      </c>
      <c r="AQ41" s="34" t="n">
        <v>15</v>
      </c>
      <c r="AR41" s="34" t="n">
        <v>1.667</v>
      </c>
      <c r="AS41" s="34" t="n">
        <v>-50</v>
      </c>
      <c r="AT41" s="34" t="n">
        <v>0</v>
      </c>
      <c r="AU41" s="34" t="n">
        <v>5</v>
      </c>
      <c r="AV41" s="34" t="n">
        <v>278</v>
      </c>
      <c r="AW41" s="34" t="n">
        <v>0.002</v>
      </c>
      <c r="AX41" s="34" t="n">
        <v>1</v>
      </c>
      <c r="AY41" s="34" t="n">
        <v>0.35</v>
      </c>
      <c r="AZ41" s="34" t="n">
        <v>2</v>
      </c>
      <c r="BA41" s="34" t="n">
        <v>1.8</v>
      </c>
      <c r="BB41" s="34" t="n">
        <v>0.01</v>
      </c>
      <c r="BC41" s="34" t="s">
        <v>200</v>
      </c>
      <c r="BD41" s="34" t="s">
        <v>200</v>
      </c>
      <c r="BE41" s="34" t="n">
        <v>0</v>
      </c>
      <c r="BF41" s="34" t="n">
        <v>1</v>
      </c>
      <c r="BG41" s="34" t="n">
        <v>0</v>
      </c>
      <c r="BH41" s="34" t="n">
        <v>1</v>
      </c>
      <c r="BI41" s="34" t="n">
        <v>0</v>
      </c>
      <c r="BJ41" s="34"/>
      <c r="BK41" s="34" t="n">
        <v>4.2</v>
      </c>
      <c r="BL41" s="34" t="n">
        <v>1</v>
      </c>
      <c r="BM41" s="34" t="s">
        <v>200</v>
      </c>
      <c r="BN41" s="34" t="n">
        <v>1</v>
      </c>
      <c r="BO41" s="34" t="n">
        <v>0</v>
      </c>
      <c r="BP41" s="34" t="n">
        <v>0</v>
      </c>
      <c r="BQ41" s="34" t="s">
        <v>201</v>
      </c>
      <c r="BR41" s="34" t="s">
        <v>200</v>
      </c>
      <c r="BS41" s="34" t="n">
        <v>0.1</v>
      </c>
      <c r="BT41" s="34" t="n">
        <v>0</v>
      </c>
      <c r="BU41" s="34" t="n">
        <v>0.14</v>
      </c>
      <c r="BV41" s="34" t="n">
        <v>0</v>
      </c>
      <c r="BW41" s="34" t="n">
        <v>1</v>
      </c>
      <c r="BX41" s="34" t="n">
        <v>0</v>
      </c>
      <c r="BY41" s="34" t="n">
        <v>0</v>
      </c>
      <c r="BZ41" s="34" t="s">
        <v>200</v>
      </c>
      <c r="CA41" s="34" t="s">
        <v>202</v>
      </c>
      <c r="CB41" s="34"/>
      <c r="CC41" s="34" t="n">
        <v>0.4</v>
      </c>
      <c r="CD41" s="34" t="n">
        <v>0.02</v>
      </c>
      <c r="CE41" s="34" t="n">
        <v>0.28</v>
      </c>
      <c r="CF41" s="34" t="n">
        <v>0</v>
      </c>
      <c r="CG41" s="34" t="n">
        <v>2</v>
      </c>
      <c r="CH41" s="34" t="n">
        <v>10</v>
      </c>
      <c r="CI41" s="34" t="n">
        <v>-5.4</v>
      </c>
      <c r="CJ41" s="34" t="n">
        <v>8</v>
      </c>
      <c r="CK41" s="34" t="n">
        <v>6</v>
      </c>
      <c r="CL41" s="34" t="n">
        <v>0.28</v>
      </c>
      <c r="CM41" s="35" t="n">
        <v>0</v>
      </c>
    </row>
    <row r="42" customFormat="false" ht="15" hidden="false" customHeight="false" outlineLevel="0" collapsed="false">
      <c r="A42" s="3" t="s">
        <v>253</v>
      </c>
      <c r="B42" s="34" t="n">
        <v>42</v>
      </c>
      <c r="C42" s="34" t="s">
        <v>210</v>
      </c>
      <c r="D42" s="34" t="s">
        <v>215</v>
      </c>
      <c r="E42" s="34" t="n">
        <v>800</v>
      </c>
      <c r="F42" s="34" t="s">
        <v>211</v>
      </c>
      <c r="G42" s="34" t="s">
        <v>200</v>
      </c>
      <c r="H42" s="34" t="n">
        <v>5</v>
      </c>
      <c r="I42" s="34" t="n">
        <v>9</v>
      </c>
      <c r="J42" s="34" t="n">
        <v>22.8</v>
      </c>
      <c r="K42" s="34" t="n">
        <v>39</v>
      </c>
      <c r="L42" s="34" t="n">
        <v>3.4</v>
      </c>
      <c r="M42" s="34" t="n">
        <v>0</v>
      </c>
      <c r="N42" s="34" t="n">
        <v>0.29</v>
      </c>
      <c r="O42" s="34" t="n">
        <v>0.13</v>
      </c>
      <c r="P42" s="34" t="n">
        <v>28</v>
      </c>
      <c r="Q42" s="34" t="n">
        <v>2</v>
      </c>
      <c r="R42" s="34" t="n">
        <v>1.2</v>
      </c>
      <c r="S42" s="34" t="n">
        <v>11</v>
      </c>
      <c r="T42" s="34" t="n">
        <v>640</v>
      </c>
      <c r="U42" s="34" t="n">
        <v>1.22</v>
      </c>
      <c r="V42" s="34" t="n">
        <v>1</v>
      </c>
      <c r="W42" s="34" t="n">
        <v>1</v>
      </c>
      <c r="X42" s="34" t="n">
        <v>50.7</v>
      </c>
      <c r="Y42" s="34" t="n">
        <v>-1</v>
      </c>
      <c r="Z42" s="34" t="n">
        <v>0</v>
      </c>
      <c r="AA42" s="34" t="n">
        <v>0</v>
      </c>
      <c r="AB42" s="34" t="n">
        <v>0.65</v>
      </c>
      <c r="AC42" s="34" t="n">
        <v>4</v>
      </c>
      <c r="AD42" s="34" t="n">
        <v>141</v>
      </c>
      <c r="AE42" s="34" t="n">
        <v>0</v>
      </c>
      <c r="AF42" s="34" t="n">
        <v>0.43</v>
      </c>
      <c r="AG42" s="34" t="n">
        <v>0</v>
      </c>
      <c r="AH42" s="34" t="n">
        <v>411</v>
      </c>
      <c r="AI42" s="34" t="n">
        <v>760</v>
      </c>
      <c r="AJ42" s="34" t="n">
        <v>1.85</v>
      </c>
      <c r="AK42" s="34" t="n">
        <v>10</v>
      </c>
      <c r="AL42" s="34" t="n">
        <v>0.58</v>
      </c>
      <c r="AM42" s="34" t="n">
        <v>5.2</v>
      </c>
      <c r="AN42" s="34" t="n">
        <v>3.7</v>
      </c>
      <c r="AO42" s="34" t="n">
        <v>1.19</v>
      </c>
      <c r="AP42" s="34" t="n">
        <v>431</v>
      </c>
      <c r="AQ42" s="34" t="n">
        <v>86</v>
      </c>
      <c r="AR42" s="34" t="n">
        <v>0.567</v>
      </c>
      <c r="AS42" s="34" t="n">
        <v>-16</v>
      </c>
      <c r="AT42" s="34" t="n">
        <v>0.24</v>
      </c>
      <c r="AU42" s="34" t="n">
        <v>167</v>
      </c>
      <c r="AV42" s="34" t="n">
        <v>2482</v>
      </c>
      <c r="AW42" s="34" t="n">
        <v>0.072</v>
      </c>
      <c r="AX42" s="34" t="n">
        <v>1</v>
      </c>
      <c r="AY42" s="34" t="n">
        <v>0.37</v>
      </c>
      <c r="AZ42" s="34" t="n">
        <v>2.7</v>
      </c>
      <c r="BA42" s="34" t="n">
        <v>2.3</v>
      </c>
      <c r="BB42" s="34" t="n">
        <v>0.17</v>
      </c>
      <c r="BC42" s="34" t="s">
        <v>200</v>
      </c>
      <c r="BD42" s="34" t="s">
        <v>200</v>
      </c>
      <c r="BE42" s="34" t="n">
        <v>0</v>
      </c>
      <c r="BF42" s="34" t="n">
        <v>0</v>
      </c>
      <c r="BG42" s="34" t="n">
        <v>0</v>
      </c>
      <c r="BH42" s="34" t="n">
        <v>0</v>
      </c>
      <c r="BI42" s="34" t="n">
        <v>0</v>
      </c>
      <c r="BJ42" s="34"/>
      <c r="BK42" s="34" t="n">
        <v>5.9</v>
      </c>
      <c r="BL42" s="34" t="n">
        <v>0</v>
      </c>
      <c r="BM42" s="34" t="s">
        <v>200</v>
      </c>
      <c r="BN42" s="34" t="n">
        <v>2</v>
      </c>
      <c r="BO42" s="34" t="n">
        <v>0</v>
      </c>
      <c r="BP42" s="34" t="n">
        <v>1</v>
      </c>
      <c r="BQ42" s="34" t="s">
        <v>254</v>
      </c>
      <c r="BR42" s="34" t="s">
        <v>200</v>
      </c>
      <c r="BS42" s="34" t="n">
        <v>0.22</v>
      </c>
      <c r="BT42" s="34" t="n">
        <v>0</v>
      </c>
      <c r="BU42" s="34" t="n">
        <v>0.06</v>
      </c>
      <c r="BV42" s="34" t="n">
        <v>0.12</v>
      </c>
      <c r="BW42" s="34" t="n">
        <v>0</v>
      </c>
      <c r="BX42" s="34" t="n">
        <v>0</v>
      </c>
      <c r="BY42" s="34" t="n">
        <v>0</v>
      </c>
      <c r="BZ42" s="34" t="s">
        <v>200</v>
      </c>
      <c r="CA42" s="34" t="s">
        <v>202</v>
      </c>
      <c r="CB42" s="34"/>
      <c r="CC42" s="34" t="n">
        <v>2.2</v>
      </c>
      <c r="CD42" s="34" t="n">
        <v>0.2</v>
      </c>
      <c r="CE42" s="34" t="n">
        <v>0.38</v>
      </c>
      <c r="CF42" s="34" t="n">
        <v>0</v>
      </c>
      <c r="CG42" s="34" t="n">
        <v>1</v>
      </c>
      <c r="CH42" s="34" t="n">
        <v>-19</v>
      </c>
      <c r="CI42" s="34" t="n">
        <v>2.3</v>
      </c>
      <c r="CJ42" s="34" t="n">
        <v>698</v>
      </c>
      <c r="CK42" s="34" t="n">
        <v>6</v>
      </c>
      <c r="CL42" s="34" t="n">
        <v>0.45</v>
      </c>
      <c r="CM42" s="35" t="n">
        <v>0</v>
      </c>
    </row>
    <row r="43" customFormat="false" ht="15" hidden="false" customHeight="false" outlineLevel="0" collapsed="false">
      <c r="A43" s="3" t="s">
        <v>255</v>
      </c>
      <c r="B43" s="34" t="n">
        <v>34</v>
      </c>
      <c r="C43" s="34" t="s">
        <v>197</v>
      </c>
      <c r="D43" s="34" t="s">
        <v>215</v>
      </c>
      <c r="E43" s="34" t="n">
        <v>1154</v>
      </c>
      <c r="F43" s="34" t="s">
        <v>223</v>
      </c>
      <c r="G43" s="34" t="s">
        <v>200</v>
      </c>
      <c r="H43" s="34" t="n">
        <v>9</v>
      </c>
      <c r="I43" s="34" t="n">
        <v>13</v>
      </c>
      <c r="J43" s="34" t="n">
        <v>42.1</v>
      </c>
      <c r="K43" s="34" t="n">
        <v>90</v>
      </c>
      <c r="L43" s="34" t="n">
        <v>9.1</v>
      </c>
      <c r="M43" s="34" t="n">
        <v>0.11</v>
      </c>
      <c r="N43" s="34" t="n">
        <v>0.29</v>
      </c>
      <c r="O43" s="34" t="n">
        <v>0.22</v>
      </c>
      <c r="P43" s="34" t="n">
        <v>85</v>
      </c>
      <c r="Q43" s="34" t="n">
        <v>7</v>
      </c>
      <c r="R43" s="34" t="n">
        <v>1.6</v>
      </c>
      <c r="S43" s="34" t="n">
        <v>21</v>
      </c>
      <c r="T43" s="34" t="n">
        <v>698</v>
      </c>
      <c r="U43" s="34" t="n">
        <v>1.62</v>
      </c>
      <c r="V43" s="34" t="n">
        <v>3</v>
      </c>
      <c r="W43" s="34" t="n">
        <v>4</v>
      </c>
      <c r="X43" s="34" t="n">
        <v>30.6</v>
      </c>
      <c r="Y43" s="34" t="n">
        <v>5</v>
      </c>
      <c r="Z43" s="34" t="n">
        <v>1</v>
      </c>
      <c r="AA43" s="34" t="n">
        <v>0.08</v>
      </c>
      <c r="AB43" s="34" t="n">
        <v>0.49</v>
      </c>
      <c r="AC43" s="34" t="n">
        <v>7</v>
      </c>
      <c r="AD43" s="34" t="n">
        <v>56</v>
      </c>
      <c r="AE43" s="34" t="n">
        <v>1</v>
      </c>
      <c r="AF43" s="34" t="n">
        <v>0.7</v>
      </c>
      <c r="AG43" s="34" t="n">
        <v>1</v>
      </c>
      <c r="AH43" s="34" t="n">
        <v>754</v>
      </c>
      <c r="AI43" s="34" t="n">
        <v>1539</v>
      </c>
      <c r="AJ43" s="34" t="n">
        <v>2.04</v>
      </c>
      <c r="AK43" s="34" t="n">
        <v>23</v>
      </c>
      <c r="AL43" s="34" t="n">
        <v>0.6</v>
      </c>
      <c r="AM43" s="34" t="n">
        <v>9.6</v>
      </c>
      <c r="AN43" s="34" t="n">
        <v>4.8</v>
      </c>
      <c r="AO43" s="34" t="n">
        <v>1.25</v>
      </c>
      <c r="AP43" s="34" t="n">
        <v>324</v>
      </c>
      <c r="AQ43" s="34" t="n">
        <v>36</v>
      </c>
      <c r="AR43" s="34" t="n">
        <v>0.211</v>
      </c>
      <c r="AS43" s="34" t="n">
        <v>42</v>
      </c>
      <c r="AT43" s="34" t="n">
        <v>0.42</v>
      </c>
      <c r="AU43" s="34" t="n">
        <v>165</v>
      </c>
      <c r="AV43" s="34" t="n">
        <v>6158</v>
      </c>
      <c r="AW43" s="34" t="n">
        <v>0.216</v>
      </c>
      <c r="AX43" s="34" t="n">
        <v>2</v>
      </c>
      <c r="AY43" s="34" t="n">
        <v>0.32</v>
      </c>
      <c r="AZ43" s="34" t="n">
        <v>3.4</v>
      </c>
      <c r="BA43" s="34" t="n">
        <v>3.1</v>
      </c>
      <c r="BB43" s="34" t="n">
        <v>0.21</v>
      </c>
      <c r="BC43" s="34" t="s">
        <v>200</v>
      </c>
      <c r="BD43" s="34" t="s">
        <v>200</v>
      </c>
      <c r="BE43" s="34" t="n">
        <v>0</v>
      </c>
      <c r="BF43" s="34" t="n">
        <v>1</v>
      </c>
      <c r="BG43" s="34" t="n">
        <v>0</v>
      </c>
      <c r="BH43" s="34" t="n">
        <v>0</v>
      </c>
      <c r="BI43" s="34" t="n">
        <v>0</v>
      </c>
      <c r="BJ43" s="34"/>
      <c r="BK43" s="34" t="n">
        <v>4</v>
      </c>
      <c r="BL43" s="34" t="n">
        <v>1</v>
      </c>
      <c r="BM43" s="34" t="s">
        <v>200</v>
      </c>
      <c r="BN43" s="34" t="n">
        <v>2</v>
      </c>
      <c r="BO43" s="34" t="n">
        <v>1</v>
      </c>
      <c r="BP43" s="34" t="n">
        <v>2</v>
      </c>
      <c r="BQ43" s="34" t="s">
        <v>208</v>
      </c>
      <c r="BR43" s="34" t="s">
        <v>200</v>
      </c>
      <c r="BS43" s="34" t="n">
        <v>0.24</v>
      </c>
      <c r="BT43" s="34" t="n">
        <v>1</v>
      </c>
      <c r="BU43" s="34" t="n">
        <v>0.42</v>
      </c>
      <c r="BV43" s="34" t="n">
        <v>0.38</v>
      </c>
      <c r="BW43" s="34" t="n">
        <v>1</v>
      </c>
      <c r="BX43" s="34" t="n">
        <v>0</v>
      </c>
      <c r="BY43" s="34" t="n">
        <v>0</v>
      </c>
      <c r="BZ43" s="34" t="s">
        <v>200</v>
      </c>
      <c r="CA43" s="34" t="s">
        <v>256</v>
      </c>
      <c r="CB43" s="34"/>
      <c r="CC43" s="34" t="n">
        <v>2.3</v>
      </c>
      <c r="CD43" s="34" t="n">
        <v>0.26</v>
      </c>
      <c r="CE43" s="34" t="n">
        <v>0.82</v>
      </c>
      <c r="CF43" s="34" t="n">
        <v>1</v>
      </c>
      <c r="CG43" s="34" t="n">
        <v>2</v>
      </c>
      <c r="CH43" s="34" t="n">
        <v>44</v>
      </c>
      <c r="CI43" s="34" t="n">
        <v>10.1</v>
      </c>
      <c r="CJ43" s="34" t="n">
        <v>1823</v>
      </c>
      <c r="CK43" s="34" t="n">
        <v>6</v>
      </c>
      <c r="CL43" s="34" t="n">
        <v>0.62</v>
      </c>
      <c r="CM43" s="35" t="n">
        <v>0</v>
      </c>
    </row>
    <row r="44" customFormat="false" ht="15" hidden="false" customHeight="false" outlineLevel="0" collapsed="false">
      <c r="A44" s="3" t="s">
        <v>257</v>
      </c>
      <c r="B44" s="34" t="n">
        <v>44</v>
      </c>
      <c r="C44" s="34" t="s">
        <v>197</v>
      </c>
      <c r="D44" s="34" t="s">
        <v>215</v>
      </c>
      <c r="E44" s="34" t="n">
        <v>199</v>
      </c>
      <c r="F44" s="34" t="s">
        <v>223</v>
      </c>
      <c r="G44" s="34" t="s">
        <v>207</v>
      </c>
      <c r="H44" s="34" t="n">
        <v>8</v>
      </c>
      <c r="I44" s="34" t="n">
        <v>13</v>
      </c>
      <c r="J44" s="34" t="n">
        <v>35.2</v>
      </c>
      <c r="K44" s="34" t="n">
        <v>69</v>
      </c>
      <c r="L44" s="34" t="n">
        <v>7.6</v>
      </c>
      <c r="M44" s="34" t="n">
        <v>0.19</v>
      </c>
      <c r="N44" s="34" t="n">
        <v>0.37</v>
      </c>
      <c r="O44" s="34" t="n">
        <v>0.09</v>
      </c>
      <c r="P44" s="34" t="n">
        <v>55</v>
      </c>
      <c r="Q44" s="34" t="n">
        <v>3</v>
      </c>
      <c r="R44" s="34" t="n">
        <v>1.5</v>
      </c>
      <c r="S44" s="34" t="n">
        <v>16</v>
      </c>
      <c r="T44" s="34" t="n">
        <v>613</v>
      </c>
      <c r="U44" s="34" t="n">
        <v>1.23</v>
      </c>
      <c r="V44" s="34" t="n">
        <v>2</v>
      </c>
      <c r="W44" s="34" t="n">
        <v>1</v>
      </c>
      <c r="X44" s="34" t="n">
        <v>45.1</v>
      </c>
      <c r="Y44" s="34" t="n">
        <v>4</v>
      </c>
      <c r="Z44" s="34" t="n">
        <v>0</v>
      </c>
      <c r="AA44" s="34" t="n">
        <v>0.19</v>
      </c>
      <c r="AB44" s="34" t="n">
        <v>0.22</v>
      </c>
      <c r="AC44" s="34" t="n">
        <v>5</v>
      </c>
      <c r="AD44" s="34" t="n">
        <v>56</v>
      </c>
      <c r="AE44" s="34" t="n">
        <v>0</v>
      </c>
      <c r="AF44" s="34" t="n">
        <v>0.75</v>
      </c>
      <c r="AG44" s="34" t="n">
        <v>0</v>
      </c>
      <c r="AH44" s="34" t="n">
        <v>692</v>
      </c>
      <c r="AI44" s="34" t="n">
        <v>1441</v>
      </c>
      <c r="AJ44" s="34" t="n">
        <v>2.08</v>
      </c>
      <c r="AK44" s="34" t="n">
        <v>14</v>
      </c>
      <c r="AL44" s="34" t="n">
        <v>0.18</v>
      </c>
      <c r="AM44" s="34" t="n">
        <v>1</v>
      </c>
      <c r="AN44" s="34" t="n">
        <v>2.8</v>
      </c>
      <c r="AO44" s="34" t="n">
        <v>0.5</v>
      </c>
      <c r="AP44" s="34" t="n">
        <v>228</v>
      </c>
      <c r="AQ44" s="34" t="n">
        <v>28</v>
      </c>
      <c r="AR44" s="34" t="n">
        <v>0.158</v>
      </c>
      <c r="AS44" s="34" t="n">
        <v>-28</v>
      </c>
      <c r="AT44" s="34" t="n">
        <v>0</v>
      </c>
      <c r="AU44" s="34" t="n">
        <v>48</v>
      </c>
      <c r="AV44" s="34" t="n">
        <v>782</v>
      </c>
      <c r="AW44" s="34" t="n">
        <v>0.152</v>
      </c>
      <c r="AX44" s="34" t="n">
        <v>1</v>
      </c>
      <c r="AY44" s="34" t="n">
        <v>0.52</v>
      </c>
      <c r="AZ44" s="34" t="n">
        <v>2</v>
      </c>
      <c r="BA44" s="34" t="n">
        <v>1</v>
      </c>
      <c r="BB44" s="34" t="n">
        <v>0.14</v>
      </c>
      <c r="BC44" s="34" t="s">
        <v>200</v>
      </c>
      <c r="BD44" s="34" t="s">
        <v>200</v>
      </c>
      <c r="BE44" s="34" t="n">
        <v>1</v>
      </c>
      <c r="BF44" s="34" t="n">
        <v>0</v>
      </c>
      <c r="BG44" s="34" t="n">
        <v>0</v>
      </c>
      <c r="BH44" s="34" t="n">
        <v>0</v>
      </c>
      <c r="BI44" s="34" t="n">
        <v>0</v>
      </c>
      <c r="BJ44" s="34"/>
      <c r="BK44" s="34" t="n">
        <v>8.2</v>
      </c>
      <c r="BL44" s="34" t="n">
        <v>0</v>
      </c>
      <c r="BM44" s="34" t="s">
        <v>200</v>
      </c>
      <c r="BN44" s="34" t="n">
        <v>1</v>
      </c>
      <c r="BO44" s="34" t="n">
        <v>0</v>
      </c>
      <c r="BP44" s="34" t="n">
        <v>1</v>
      </c>
      <c r="BQ44" s="34" t="s">
        <v>208</v>
      </c>
      <c r="BR44" s="34" t="s">
        <v>207</v>
      </c>
      <c r="BS44" s="34" t="n">
        <v>0.08</v>
      </c>
      <c r="BT44" s="34" t="n">
        <v>0</v>
      </c>
      <c r="BU44" s="34" t="n">
        <v>0.11</v>
      </c>
      <c r="BV44" s="34" t="n">
        <v>0</v>
      </c>
      <c r="BW44" s="34" t="n">
        <v>2</v>
      </c>
      <c r="BX44" s="34" t="n">
        <v>0</v>
      </c>
      <c r="BY44" s="34" t="n">
        <v>0</v>
      </c>
      <c r="BZ44" s="34" t="s">
        <v>200</v>
      </c>
      <c r="CA44" s="34" t="s">
        <v>202</v>
      </c>
      <c r="CB44" s="34"/>
      <c r="CC44" s="34" t="n">
        <v>0.5</v>
      </c>
      <c r="CD44" s="34" t="n">
        <v>0.05</v>
      </c>
      <c r="CE44" s="34" t="n">
        <v>0.67</v>
      </c>
      <c r="CF44" s="34" t="n">
        <v>0</v>
      </c>
      <c r="CG44" s="34" t="n">
        <v>1</v>
      </c>
      <c r="CH44" s="34" t="n">
        <v>-8</v>
      </c>
      <c r="CI44" s="34" t="n">
        <v>-2.3</v>
      </c>
      <c r="CJ44" s="34" t="n">
        <v>1092</v>
      </c>
      <c r="CK44" s="34" t="n">
        <v>6</v>
      </c>
      <c r="CL44" s="34" t="n">
        <v>0.52</v>
      </c>
      <c r="CM44" s="35" t="n">
        <v>0</v>
      </c>
    </row>
    <row r="45" customFormat="false" ht="15" hidden="false" customHeight="false" outlineLevel="0" collapsed="false">
      <c r="A45" s="3" t="s">
        <v>258</v>
      </c>
      <c r="B45" s="34" t="n">
        <v>33</v>
      </c>
      <c r="C45" s="34" t="s">
        <v>197</v>
      </c>
      <c r="D45" s="34" t="s">
        <v>198</v>
      </c>
      <c r="E45" s="34" t="n">
        <v>102</v>
      </c>
      <c r="F45" s="34" t="s">
        <v>211</v>
      </c>
      <c r="G45" s="34" t="s">
        <v>200</v>
      </c>
      <c r="H45" s="34" t="n">
        <v>10</v>
      </c>
      <c r="I45" s="34" t="n">
        <v>23</v>
      </c>
      <c r="J45" s="34" t="n">
        <v>24.9</v>
      </c>
      <c r="K45" s="34" t="n">
        <v>34</v>
      </c>
      <c r="L45" s="34" t="n">
        <v>9.5</v>
      </c>
      <c r="M45" s="34" t="n">
        <v>0</v>
      </c>
      <c r="N45" s="34" t="n">
        <v>0.39</v>
      </c>
      <c r="O45" s="34" t="n">
        <v>0.02</v>
      </c>
      <c r="P45" s="34" t="n">
        <v>24</v>
      </c>
      <c r="Q45" s="34" t="n">
        <v>2</v>
      </c>
      <c r="R45" s="34" t="n">
        <v>0.8</v>
      </c>
      <c r="S45" s="34" t="n">
        <v>31</v>
      </c>
      <c r="T45" s="34" t="n">
        <v>1604</v>
      </c>
      <c r="U45" s="34" t="n">
        <v>1.35</v>
      </c>
      <c r="V45" s="34" t="n">
        <v>1</v>
      </c>
      <c r="W45" s="34" t="n">
        <v>1</v>
      </c>
      <c r="X45" s="34" t="n">
        <v>22.4</v>
      </c>
      <c r="Y45" s="34" t="n">
        <v>-1</v>
      </c>
      <c r="Z45" s="34" t="n">
        <v>0</v>
      </c>
      <c r="AA45" s="34" t="n">
        <v>0</v>
      </c>
      <c r="AB45" s="34" t="n">
        <v>0</v>
      </c>
      <c r="AC45" s="34" t="n">
        <v>4</v>
      </c>
      <c r="AD45" s="34" t="n">
        <v>52</v>
      </c>
      <c r="AE45" s="34" t="n">
        <v>0</v>
      </c>
      <c r="AF45" s="34" t="n">
        <v>0.41</v>
      </c>
      <c r="AG45" s="34" t="n">
        <v>0</v>
      </c>
      <c r="AH45" s="34" t="n">
        <v>1078</v>
      </c>
      <c r="AI45" s="34" t="n">
        <v>661</v>
      </c>
      <c r="AJ45" s="34" t="n">
        <v>0.61</v>
      </c>
      <c r="AK45" s="34" t="n">
        <v>4</v>
      </c>
      <c r="AL45" s="34" t="n">
        <v>0.62</v>
      </c>
      <c r="AM45" s="34" t="n">
        <v>2.1</v>
      </c>
      <c r="AN45" s="34" t="n">
        <v>3</v>
      </c>
      <c r="AO45" s="34" t="n">
        <v>0.88</v>
      </c>
      <c r="AP45" s="34" t="n">
        <v>1098</v>
      </c>
      <c r="AQ45" s="34" t="n">
        <v>110</v>
      </c>
      <c r="AR45" s="34" t="n">
        <v>1.661</v>
      </c>
      <c r="AS45" s="34" t="n">
        <v>25</v>
      </c>
      <c r="AT45" s="34" t="n">
        <v>0.16</v>
      </c>
      <c r="AU45" s="34" t="n">
        <v>413</v>
      </c>
      <c r="AV45" s="34" t="n">
        <v>2388</v>
      </c>
      <c r="AW45" s="34" t="n">
        <v>0.183</v>
      </c>
      <c r="AX45" s="34" t="n">
        <v>2</v>
      </c>
      <c r="AY45" s="34" t="n">
        <v>0.19</v>
      </c>
      <c r="AZ45" s="34" t="n">
        <v>3.8</v>
      </c>
      <c r="BA45" s="34" t="n">
        <v>2.2</v>
      </c>
      <c r="BB45" s="34" t="n">
        <v>0.33</v>
      </c>
      <c r="BC45" s="34" t="s">
        <v>200</v>
      </c>
      <c r="BD45" s="34" t="s">
        <v>207</v>
      </c>
      <c r="BE45" s="34" t="n">
        <v>0</v>
      </c>
      <c r="BF45" s="34" t="n">
        <v>0</v>
      </c>
      <c r="BG45" s="34" t="n">
        <v>0</v>
      </c>
      <c r="BH45" s="34" t="n">
        <v>0</v>
      </c>
      <c r="BI45" s="34" t="n">
        <v>0</v>
      </c>
      <c r="BJ45" s="34"/>
      <c r="BK45" s="34" t="n">
        <v>5.3</v>
      </c>
      <c r="BL45" s="34" t="n">
        <v>1</v>
      </c>
      <c r="BM45" s="34" t="s">
        <v>200</v>
      </c>
      <c r="BN45" s="34" t="n">
        <v>2</v>
      </c>
      <c r="BO45" s="34" t="n">
        <v>1</v>
      </c>
      <c r="BP45" s="34" t="n">
        <v>2</v>
      </c>
      <c r="BQ45" s="34" t="s">
        <v>212</v>
      </c>
      <c r="BR45" s="34" t="s">
        <v>200</v>
      </c>
      <c r="BS45" s="34" t="n">
        <v>0.19</v>
      </c>
      <c r="BT45" s="34" t="n">
        <v>0</v>
      </c>
      <c r="BU45" s="34" t="n">
        <v>0</v>
      </c>
      <c r="BV45" s="34" t="n">
        <v>0.27</v>
      </c>
      <c r="BW45" s="34" t="n">
        <v>2</v>
      </c>
      <c r="BX45" s="34" t="n">
        <v>0</v>
      </c>
      <c r="BY45" s="34" t="n">
        <v>0</v>
      </c>
      <c r="BZ45" s="34" t="s">
        <v>200</v>
      </c>
      <c r="CA45" s="34" t="s">
        <v>202</v>
      </c>
      <c r="CB45" s="34"/>
      <c r="CC45" s="34" t="n">
        <v>1.2</v>
      </c>
      <c r="CD45" s="34" t="n">
        <v>0.09</v>
      </c>
      <c r="CE45" s="34" t="n">
        <v>0.66</v>
      </c>
      <c r="CF45" s="34" t="n">
        <v>0</v>
      </c>
      <c r="CG45" s="34" t="n">
        <v>1</v>
      </c>
      <c r="CH45" s="34" t="n">
        <v>24</v>
      </c>
      <c r="CI45" s="34" t="n">
        <v>0.7</v>
      </c>
      <c r="CJ45" s="34" t="n">
        <v>602</v>
      </c>
      <c r="CK45" s="34" t="n">
        <v>3</v>
      </c>
      <c r="CL45" s="34" t="n">
        <v>0.4</v>
      </c>
      <c r="CM45" s="35" t="n">
        <v>0</v>
      </c>
    </row>
    <row r="46" customFormat="false" ht="15" hidden="false" customHeight="false" outlineLevel="0" collapsed="false">
      <c r="A46" s="3" t="s">
        <v>259</v>
      </c>
      <c r="B46" s="34" t="n">
        <v>52</v>
      </c>
      <c r="C46" s="34" t="s">
        <v>210</v>
      </c>
      <c r="D46" s="34" t="s">
        <v>206</v>
      </c>
      <c r="E46" s="34" t="n">
        <v>1105</v>
      </c>
      <c r="F46" s="34" t="s">
        <v>211</v>
      </c>
      <c r="G46" s="34" t="s">
        <v>200</v>
      </c>
      <c r="H46" s="34" t="n">
        <v>14</v>
      </c>
      <c r="I46" s="34" t="n">
        <v>26</v>
      </c>
      <c r="J46" s="34" t="n">
        <v>38.9</v>
      </c>
      <c r="K46" s="34" t="n">
        <v>103</v>
      </c>
      <c r="L46" s="34" t="n">
        <v>16.9</v>
      </c>
      <c r="M46" s="34" t="n">
        <v>0.11</v>
      </c>
      <c r="N46" s="34" t="n">
        <v>0.43</v>
      </c>
      <c r="O46" s="34" t="n">
        <v>0.14</v>
      </c>
      <c r="P46" s="34" t="n">
        <v>80</v>
      </c>
      <c r="Q46" s="34" t="n">
        <v>2</v>
      </c>
      <c r="R46" s="34" t="n">
        <v>0.5</v>
      </c>
      <c r="S46" s="34" t="n">
        <v>14</v>
      </c>
      <c r="T46" s="34" t="n">
        <v>1088</v>
      </c>
      <c r="U46" s="34" t="n">
        <v>0.54</v>
      </c>
      <c r="V46" s="34" t="n">
        <v>1</v>
      </c>
      <c r="W46" s="34" t="n">
        <v>1</v>
      </c>
      <c r="X46" s="34" t="n">
        <v>36.9</v>
      </c>
      <c r="Y46" s="34" t="n">
        <v>44</v>
      </c>
      <c r="Z46" s="34" t="n">
        <v>0</v>
      </c>
      <c r="AA46" s="34" t="n">
        <v>0.15</v>
      </c>
      <c r="AB46" s="34" t="n">
        <v>0.62</v>
      </c>
      <c r="AC46" s="34" t="n">
        <v>2</v>
      </c>
      <c r="AD46" s="34" t="n">
        <v>83</v>
      </c>
      <c r="AE46" s="34" t="n">
        <v>0</v>
      </c>
      <c r="AF46" s="34" t="n">
        <v>0.63</v>
      </c>
      <c r="AG46" s="34" t="n">
        <v>0</v>
      </c>
      <c r="AH46" s="34" t="n">
        <v>1307</v>
      </c>
      <c r="AI46" s="34" t="n">
        <v>2579</v>
      </c>
      <c r="AJ46" s="34" t="n">
        <v>1.97</v>
      </c>
      <c r="AK46" s="34" t="n">
        <v>12</v>
      </c>
      <c r="AL46" s="34" t="n">
        <v>0.74</v>
      </c>
      <c r="AM46" s="34" t="n">
        <v>-1.2</v>
      </c>
      <c r="AN46" s="34" t="n">
        <v>3.9</v>
      </c>
      <c r="AO46" s="34" t="n">
        <v>1.02</v>
      </c>
      <c r="AP46" s="34" t="n">
        <v>574</v>
      </c>
      <c r="AQ46" s="34" t="n">
        <v>41</v>
      </c>
      <c r="AR46" s="34" t="n">
        <v>0.223</v>
      </c>
      <c r="AS46" s="34" t="n">
        <v>17</v>
      </c>
      <c r="AT46" s="34" t="n">
        <v>0.1</v>
      </c>
      <c r="AU46" s="34" t="n">
        <v>193</v>
      </c>
      <c r="AV46" s="34" t="n">
        <v>9529</v>
      </c>
      <c r="AW46" s="34" t="n">
        <v>0.096</v>
      </c>
      <c r="AX46" s="34" t="n">
        <v>2</v>
      </c>
      <c r="AY46" s="34" t="n">
        <v>0.27</v>
      </c>
      <c r="AZ46" s="34" t="n">
        <v>2.2</v>
      </c>
      <c r="BA46" s="34" t="n">
        <v>1</v>
      </c>
      <c r="BB46" s="34" t="n">
        <v>0</v>
      </c>
      <c r="BC46" s="34" t="s">
        <v>200</v>
      </c>
      <c r="BD46" s="34" t="s">
        <v>200</v>
      </c>
      <c r="BE46" s="34" t="n">
        <v>0</v>
      </c>
      <c r="BF46" s="34" t="n">
        <v>0</v>
      </c>
      <c r="BG46" s="34" t="n">
        <v>0</v>
      </c>
      <c r="BH46" s="34" t="n">
        <v>1</v>
      </c>
      <c r="BI46" s="34" t="n">
        <v>0</v>
      </c>
      <c r="BJ46" s="34"/>
      <c r="BK46" s="34" t="n">
        <v>5</v>
      </c>
      <c r="BL46" s="34" t="n">
        <v>0</v>
      </c>
      <c r="BM46" s="34" t="s">
        <v>200</v>
      </c>
      <c r="BN46" s="34" t="n">
        <v>2</v>
      </c>
      <c r="BO46" s="34" t="n">
        <v>0</v>
      </c>
      <c r="BP46" s="34" t="n">
        <v>1</v>
      </c>
      <c r="BQ46" s="34" t="s">
        <v>208</v>
      </c>
      <c r="BR46" s="34" t="s">
        <v>200</v>
      </c>
      <c r="BS46" s="34" t="n">
        <v>0.23</v>
      </c>
      <c r="BT46" s="34" t="n">
        <v>0</v>
      </c>
      <c r="BU46" s="34" t="n">
        <v>0.19</v>
      </c>
      <c r="BV46" s="34" t="n">
        <v>0.18</v>
      </c>
      <c r="BW46" s="34" t="n">
        <v>2</v>
      </c>
      <c r="BX46" s="34" t="n">
        <v>1</v>
      </c>
      <c r="BY46" s="34" t="n">
        <v>0</v>
      </c>
      <c r="BZ46" s="34" t="s">
        <v>200</v>
      </c>
      <c r="CA46" s="34" t="s">
        <v>202</v>
      </c>
      <c r="CB46" s="34" t="n">
        <v>3</v>
      </c>
      <c r="CC46" s="34" t="n">
        <v>2.2</v>
      </c>
      <c r="CD46" s="34" t="n">
        <v>0.21</v>
      </c>
      <c r="CE46" s="34" t="n">
        <v>0.57</v>
      </c>
      <c r="CF46" s="34" t="n">
        <v>0</v>
      </c>
      <c r="CG46" s="34" t="n">
        <v>1</v>
      </c>
      <c r="CH46" s="34" t="n">
        <v>18</v>
      </c>
      <c r="CI46" s="34" t="n">
        <v>-3</v>
      </c>
      <c r="CJ46" s="34" t="n">
        <v>2165</v>
      </c>
      <c r="CK46" s="34" t="n">
        <v>6</v>
      </c>
      <c r="CL46" s="34" t="n">
        <v>0.27</v>
      </c>
      <c r="CM46" s="35" t="n">
        <v>0</v>
      </c>
    </row>
    <row r="47" customFormat="false" ht="15" hidden="false" customHeight="false" outlineLevel="0" collapsed="false">
      <c r="A47" s="3" t="s">
        <v>260</v>
      </c>
      <c r="B47" s="34" t="n">
        <v>36</v>
      </c>
      <c r="C47" s="34" t="s">
        <v>197</v>
      </c>
      <c r="D47" s="34" t="s">
        <v>215</v>
      </c>
      <c r="E47" s="34" t="n">
        <v>1093</v>
      </c>
      <c r="F47" s="34" t="s">
        <v>199</v>
      </c>
      <c r="G47" s="34" t="s">
        <v>200</v>
      </c>
      <c r="H47" s="34" t="n">
        <v>2</v>
      </c>
      <c r="I47" s="34" t="n">
        <v>3</v>
      </c>
      <c r="J47" s="34" t="n">
        <v>23.7</v>
      </c>
      <c r="K47" s="34" t="n">
        <v>28</v>
      </c>
      <c r="L47" s="34" t="n">
        <v>1.2</v>
      </c>
      <c r="M47" s="34" t="n">
        <v>0.14</v>
      </c>
      <c r="N47" s="34" t="n">
        <v>0.33</v>
      </c>
      <c r="O47" s="34" t="n">
        <v>0.2</v>
      </c>
      <c r="P47" s="34" t="n">
        <v>21</v>
      </c>
      <c r="Q47" s="34" t="n">
        <v>2</v>
      </c>
      <c r="R47" s="34" t="n">
        <v>0.8</v>
      </c>
      <c r="S47" s="34" t="n">
        <v>4</v>
      </c>
      <c r="T47" s="34" t="n">
        <v>108</v>
      </c>
      <c r="U47" s="34" t="n">
        <v>1.33</v>
      </c>
      <c r="V47" s="34" t="n">
        <v>1</v>
      </c>
      <c r="W47" s="34" t="n">
        <v>0</v>
      </c>
      <c r="X47" s="34" t="n">
        <v>170.4</v>
      </c>
      <c r="Y47" s="34" t="n">
        <v>12</v>
      </c>
      <c r="Z47" s="34" t="n">
        <v>0</v>
      </c>
      <c r="AA47" s="34" t="n">
        <v>0.14</v>
      </c>
      <c r="AB47" s="34" t="n">
        <v>0.58</v>
      </c>
      <c r="AC47" s="34" t="n">
        <v>2</v>
      </c>
      <c r="AD47" s="34" t="n">
        <v>61</v>
      </c>
      <c r="AE47" s="34" t="n">
        <v>0</v>
      </c>
      <c r="AF47" s="34" t="n">
        <v>0.53</v>
      </c>
      <c r="AG47" s="34" t="n">
        <v>0</v>
      </c>
      <c r="AH47" s="34" t="n">
        <v>114</v>
      </c>
      <c r="AI47" s="34" t="n">
        <v>132</v>
      </c>
      <c r="AJ47" s="34" t="n">
        <v>1.16</v>
      </c>
      <c r="AK47" s="34" t="n">
        <v>7</v>
      </c>
      <c r="AL47" s="34" t="n">
        <v>0.74</v>
      </c>
      <c r="AM47" s="34" t="n">
        <v>1.1</v>
      </c>
      <c r="AN47" s="34" t="n">
        <v>1.6</v>
      </c>
      <c r="AO47" s="34" t="n">
        <v>1.16</v>
      </c>
      <c r="AP47" s="34" t="n">
        <v>52</v>
      </c>
      <c r="AQ47" s="34" t="n">
        <v>26</v>
      </c>
      <c r="AR47" s="34" t="n">
        <v>0.394</v>
      </c>
      <c r="AS47" s="34" t="n">
        <v>14</v>
      </c>
      <c r="AT47" s="34" t="n">
        <v>0.02</v>
      </c>
      <c r="AU47" s="34" t="n">
        <v>22</v>
      </c>
      <c r="AV47" s="34" t="n">
        <v>694</v>
      </c>
      <c r="AW47" s="34" t="n">
        <v>0.017</v>
      </c>
      <c r="AX47" s="34" t="n">
        <v>2</v>
      </c>
      <c r="AY47" s="34" t="n">
        <v>0.44</v>
      </c>
      <c r="AZ47" s="34" t="n">
        <v>2.5</v>
      </c>
      <c r="BA47" s="34" t="n">
        <v>2</v>
      </c>
      <c r="BB47" s="34" t="n">
        <v>0.4</v>
      </c>
      <c r="BC47" s="34" t="s">
        <v>200</v>
      </c>
      <c r="BD47" s="34" t="s">
        <v>207</v>
      </c>
      <c r="BE47" s="34" t="n">
        <v>0</v>
      </c>
      <c r="BF47" s="34" t="n">
        <v>0</v>
      </c>
      <c r="BG47" s="34" t="n">
        <v>0</v>
      </c>
      <c r="BH47" s="34" t="n">
        <v>0</v>
      </c>
      <c r="BI47" s="34" t="n">
        <v>0</v>
      </c>
      <c r="BJ47" s="34"/>
      <c r="BK47" s="34" t="n">
        <v>7.6</v>
      </c>
      <c r="BL47" s="34" t="n">
        <v>0</v>
      </c>
      <c r="BM47" s="34" t="s">
        <v>200</v>
      </c>
      <c r="BN47" s="34" t="n">
        <v>2</v>
      </c>
      <c r="BO47" s="34" t="n">
        <v>0</v>
      </c>
      <c r="BP47" s="34" t="n">
        <v>3</v>
      </c>
      <c r="BQ47" s="34" t="s">
        <v>212</v>
      </c>
      <c r="BR47" s="34" t="s">
        <v>200</v>
      </c>
      <c r="BS47" s="34" t="n">
        <v>0.47</v>
      </c>
      <c r="BT47" s="34" t="n">
        <v>0</v>
      </c>
      <c r="BU47" s="34" t="n">
        <v>0.26</v>
      </c>
      <c r="BV47" s="34" t="n">
        <v>0.16</v>
      </c>
      <c r="BW47" s="34" t="n">
        <v>1</v>
      </c>
      <c r="BX47" s="34" t="n">
        <v>1</v>
      </c>
      <c r="BY47" s="34" t="n">
        <v>0</v>
      </c>
      <c r="BZ47" s="34" t="s">
        <v>200</v>
      </c>
      <c r="CA47" s="34" t="s">
        <v>202</v>
      </c>
      <c r="CB47" s="34"/>
      <c r="CC47" s="34" t="n">
        <v>0.9</v>
      </c>
      <c r="CD47" s="34" t="n">
        <v>0.18</v>
      </c>
      <c r="CE47" s="34" t="n">
        <v>0.66</v>
      </c>
      <c r="CF47" s="34" t="n">
        <v>0</v>
      </c>
      <c r="CG47" s="34" t="n">
        <v>1</v>
      </c>
      <c r="CH47" s="34" t="n">
        <v>0</v>
      </c>
      <c r="CI47" s="34" t="n">
        <v>5.9</v>
      </c>
      <c r="CJ47" s="34" t="n">
        <v>141</v>
      </c>
      <c r="CK47" s="34" t="n">
        <v>6</v>
      </c>
      <c r="CL47" s="34" t="n">
        <v>0.29</v>
      </c>
      <c r="CM47" s="35" t="n">
        <v>0</v>
      </c>
    </row>
    <row r="48" customFormat="false" ht="15" hidden="false" customHeight="false" outlineLevel="0" collapsed="false">
      <c r="A48" s="3" t="s">
        <v>261</v>
      </c>
      <c r="B48" s="34" t="n">
        <v>49</v>
      </c>
      <c r="C48" s="34" t="s">
        <v>197</v>
      </c>
      <c r="D48" s="34" t="s">
        <v>227</v>
      </c>
      <c r="E48" s="34" t="n">
        <v>1199</v>
      </c>
      <c r="F48" s="34" t="s">
        <v>223</v>
      </c>
      <c r="G48" s="34" t="s">
        <v>200</v>
      </c>
      <c r="H48" s="34" t="n">
        <v>6</v>
      </c>
      <c r="I48" s="34" t="n">
        <v>6</v>
      </c>
      <c r="J48" s="34" t="n">
        <v>30.2</v>
      </c>
      <c r="K48" s="34" t="n">
        <v>47</v>
      </c>
      <c r="L48" s="34" t="n">
        <v>3</v>
      </c>
      <c r="M48" s="34" t="n">
        <v>0</v>
      </c>
      <c r="N48" s="34" t="n">
        <v>0.24</v>
      </c>
      <c r="O48" s="34" t="n">
        <v>0.18</v>
      </c>
      <c r="P48" s="34" t="n">
        <v>35</v>
      </c>
      <c r="Q48" s="34" t="n">
        <v>1</v>
      </c>
      <c r="R48" s="34" t="n">
        <v>1.5</v>
      </c>
      <c r="S48" s="34" t="n">
        <v>5</v>
      </c>
      <c r="T48" s="34" t="n">
        <v>168</v>
      </c>
      <c r="U48" s="34" t="n">
        <v>0.83</v>
      </c>
      <c r="V48" s="34" t="n">
        <v>2</v>
      </c>
      <c r="W48" s="34" t="n">
        <v>1</v>
      </c>
      <c r="X48" s="34" t="n">
        <v>118.3</v>
      </c>
      <c r="Y48" s="34" t="n">
        <v>-36</v>
      </c>
      <c r="Z48" s="34" t="n">
        <v>0</v>
      </c>
      <c r="AA48" s="34" t="n">
        <v>0</v>
      </c>
      <c r="AB48" s="34" t="n">
        <v>0.31</v>
      </c>
      <c r="AC48" s="34" t="n">
        <v>3</v>
      </c>
      <c r="AD48" s="34" t="n">
        <v>65</v>
      </c>
      <c r="AE48" s="34" t="n">
        <v>0</v>
      </c>
      <c r="AF48" s="34" t="n">
        <v>0.57</v>
      </c>
      <c r="AG48" s="34" t="n">
        <v>0</v>
      </c>
      <c r="AH48" s="34" t="n">
        <v>30</v>
      </c>
      <c r="AI48" s="34" t="n">
        <v>47</v>
      </c>
      <c r="AJ48" s="34" t="n">
        <v>1.57</v>
      </c>
      <c r="AK48" s="34" t="n">
        <v>6</v>
      </c>
      <c r="AL48" s="34" t="n">
        <v>0.1</v>
      </c>
      <c r="AM48" s="34" t="n">
        <v>-10.1</v>
      </c>
      <c r="AN48" s="34" t="n">
        <v>2.3</v>
      </c>
      <c r="AO48" s="34" t="n">
        <v>0.65</v>
      </c>
      <c r="AP48" s="34" t="n">
        <v>94</v>
      </c>
      <c r="AQ48" s="34" t="n">
        <v>16</v>
      </c>
      <c r="AR48" s="34" t="n">
        <v>2</v>
      </c>
      <c r="AS48" s="34" t="n">
        <v>-9</v>
      </c>
      <c r="AT48" s="34" t="n">
        <v>0</v>
      </c>
      <c r="AU48" s="34" t="n">
        <v>41</v>
      </c>
      <c r="AV48" s="34" t="n">
        <v>1516</v>
      </c>
      <c r="AW48" s="34" t="n">
        <v>0.063</v>
      </c>
      <c r="AX48" s="34" t="n">
        <v>1</v>
      </c>
      <c r="AY48" s="34" t="n">
        <v>0.16</v>
      </c>
      <c r="AZ48" s="34" t="n">
        <v>2.3</v>
      </c>
      <c r="BA48" s="34" t="n">
        <v>2.2</v>
      </c>
      <c r="BB48" s="34" t="n">
        <v>0.02</v>
      </c>
      <c r="BC48" s="34" t="s">
        <v>207</v>
      </c>
      <c r="BD48" s="34" t="s">
        <v>207</v>
      </c>
      <c r="BE48" s="34" t="n">
        <v>1</v>
      </c>
      <c r="BF48" s="34" t="n">
        <v>0</v>
      </c>
      <c r="BG48" s="34" t="n">
        <v>0</v>
      </c>
      <c r="BH48" s="34" t="n">
        <v>0</v>
      </c>
      <c r="BI48" s="34" t="n">
        <v>0</v>
      </c>
      <c r="BJ48" s="34"/>
      <c r="BK48" s="34" t="n">
        <v>10.2</v>
      </c>
      <c r="BL48" s="34" t="n">
        <v>1</v>
      </c>
      <c r="BM48" s="34" t="s">
        <v>200</v>
      </c>
      <c r="BN48" s="34" t="n">
        <v>1</v>
      </c>
      <c r="BO48" s="34" t="n">
        <v>0</v>
      </c>
      <c r="BP48" s="34" t="n">
        <v>1</v>
      </c>
      <c r="BQ48" s="34" t="s">
        <v>208</v>
      </c>
      <c r="BR48" s="34" t="s">
        <v>200</v>
      </c>
      <c r="BS48" s="34" t="n">
        <v>0</v>
      </c>
      <c r="BT48" s="34" t="n">
        <v>0</v>
      </c>
      <c r="BU48" s="34" t="n">
        <v>0.11</v>
      </c>
      <c r="BV48" s="34" t="n">
        <v>0.2</v>
      </c>
      <c r="BW48" s="34" t="n">
        <v>0</v>
      </c>
      <c r="BX48" s="34" t="n">
        <v>0</v>
      </c>
      <c r="BY48" s="34" t="n">
        <v>0</v>
      </c>
      <c r="BZ48" s="34" t="s">
        <v>200</v>
      </c>
      <c r="CA48" s="34" t="s">
        <v>202</v>
      </c>
      <c r="CB48" s="34"/>
      <c r="CC48" s="34" t="n">
        <v>1.3</v>
      </c>
      <c r="CD48" s="34" t="n">
        <v>0</v>
      </c>
      <c r="CE48" s="34" t="n">
        <v>0.42</v>
      </c>
      <c r="CF48" s="34" t="n">
        <v>0</v>
      </c>
      <c r="CG48" s="34" t="n">
        <v>1</v>
      </c>
      <c r="CH48" s="34" t="n">
        <v>-47</v>
      </c>
      <c r="CI48" s="34" t="n">
        <v>-6.9</v>
      </c>
      <c r="CJ48" s="34" t="n">
        <v>19</v>
      </c>
      <c r="CK48" s="34" t="n">
        <v>6</v>
      </c>
      <c r="CL48" s="34" t="n">
        <v>0.24</v>
      </c>
      <c r="CM48" s="35" t="n">
        <v>0</v>
      </c>
    </row>
    <row r="49" customFormat="false" ht="15" hidden="false" customHeight="false" outlineLevel="0" collapsed="false">
      <c r="A49" s="3" t="s">
        <v>262</v>
      </c>
      <c r="B49" s="34" t="n">
        <v>34</v>
      </c>
      <c r="C49" s="34" t="s">
        <v>197</v>
      </c>
      <c r="D49" s="34" t="s">
        <v>217</v>
      </c>
      <c r="E49" s="34" t="n">
        <v>28</v>
      </c>
      <c r="F49" s="34" t="s">
        <v>199</v>
      </c>
      <c r="G49" s="34" t="s">
        <v>200</v>
      </c>
      <c r="H49" s="34" t="n">
        <v>7</v>
      </c>
      <c r="I49" s="34" t="n">
        <v>16</v>
      </c>
      <c r="J49" s="34" t="n">
        <v>15.8</v>
      </c>
      <c r="K49" s="34" t="n">
        <v>31</v>
      </c>
      <c r="L49" s="34" t="n">
        <v>4.2</v>
      </c>
      <c r="M49" s="34" t="n">
        <v>0.07</v>
      </c>
      <c r="N49" s="34" t="n">
        <v>0.25</v>
      </c>
      <c r="O49" s="34" t="n">
        <v>0.02</v>
      </c>
      <c r="P49" s="34" t="n">
        <v>27</v>
      </c>
      <c r="Q49" s="34" t="n">
        <v>1</v>
      </c>
      <c r="R49" s="34" t="n">
        <v>1.8</v>
      </c>
      <c r="S49" s="34" t="n">
        <v>21</v>
      </c>
      <c r="T49" s="34" t="n">
        <v>991</v>
      </c>
      <c r="U49" s="34" t="n">
        <v>1.31</v>
      </c>
      <c r="V49" s="34" t="n">
        <v>2</v>
      </c>
      <c r="W49" s="34" t="n">
        <v>1</v>
      </c>
      <c r="X49" s="34" t="n">
        <v>35.4</v>
      </c>
      <c r="Y49" s="34" t="n">
        <v>16</v>
      </c>
      <c r="Z49" s="34" t="n">
        <v>0</v>
      </c>
      <c r="AA49" s="34" t="n">
        <v>0.07</v>
      </c>
      <c r="AB49" s="34" t="n">
        <v>0.61</v>
      </c>
      <c r="AC49" s="34" t="n">
        <v>2</v>
      </c>
      <c r="AD49" s="34" t="n">
        <v>111</v>
      </c>
      <c r="AE49" s="34" t="n">
        <v>0</v>
      </c>
      <c r="AF49" s="34" t="n">
        <v>0.24</v>
      </c>
      <c r="AG49" s="34" t="n">
        <v>0</v>
      </c>
      <c r="AH49" s="34" t="n">
        <v>643</v>
      </c>
      <c r="AI49" s="34" t="n">
        <v>965</v>
      </c>
      <c r="AJ49" s="34" t="n">
        <v>1.5</v>
      </c>
      <c r="AK49" s="34" t="n">
        <v>11</v>
      </c>
      <c r="AL49" s="34" t="n">
        <v>0.77</v>
      </c>
      <c r="AM49" s="34" t="n">
        <v>7.5</v>
      </c>
      <c r="AN49" s="34" t="n">
        <v>4.1</v>
      </c>
      <c r="AO49" s="34" t="n">
        <v>0.98</v>
      </c>
      <c r="AP49" s="34" t="n">
        <v>823</v>
      </c>
      <c r="AQ49" s="34" t="n">
        <v>118</v>
      </c>
      <c r="AR49" s="34" t="n">
        <v>0.853</v>
      </c>
      <c r="AS49" s="34" t="n">
        <v>19</v>
      </c>
      <c r="AT49" s="34" t="n">
        <v>0.14</v>
      </c>
      <c r="AU49" s="34" t="n">
        <v>225</v>
      </c>
      <c r="AV49" s="34" t="n">
        <v>107</v>
      </c>
      <c r="AW49" s="34" t="n">
        <v>0.274</v>
      </c>
      <c r="AX49" s="34" t="n">
        <v>1</v>
      </c>
      <c r="AY49" s="34" t="n">
        <v>0.55</v>
      </c>
      <c r="AZ49" s="34" t="n">
        <v>2.1</v>
      </c>
      <c r="BA49" s="34" t="n">
        <v>3.4</v>
      </c>
      <c r="BB49" s="34" t="n">
        <v>0.43</v>
      </c>
      <c r="BC49" s="34" t="s">
        <v>207</v>
      </c>
      <c r="BD49" s="34" t="s">
        <v>207</v>
      </c>
      <c r="BE49" s="34" t="n">
        <v>0</v>
      </c>
      <c r="BF49" s="34" t="n">
        <v>0</v>
      </c>
      <c r="BG49" s="34" t="n">
        <v>0</v>
      </c>
      <c r="BH49" s="34" t="n">
        <v>1</v>
      </c>
      <c r="BI49" s="34" t="n">
        <v>0</v>
      </c>
      <c r="BJ49" s="34"/>
      <c r="BK49" s="34" t="n">
        <v>7.4</v>
      </c>
      <c r="BL49" s="34" t="n">
        <v>0</v>
      </c>
      <c r="BM49" s="34" t="s">
        <v>200</v>
      </c>
      <c r="BN49" s="34" t="n">
        <v>1</v>
      </c>
      <c r="BO49" s="34" t="n">
        <v>0</v>
      </c>
      <c r="BP49" s="34" t="n">
        <v>1</v>
      </c>
      <c r="BQ49" s="34" t="s">
        <v>208</v>
      </c>
      <c r="BR49" s="34" t="s">
        <v>200</v>
      </c>
      <c r="BS49" s="34" t="n">
        <v>0.29</v>
      </c>
      <c r="BT49" s="34" t="n">
        <v>1</v>
      </c>
      <c r="BU49" s="34" t="n">
        <v>0.33</v>
      </c>
      <c r="BV49" s="34" t="n">
        <v>0.18</v>
      </c>
      <c r="BW49" s="34" t="n">
        <v>2</v>
      </c>
      <c r="BX49" s="34" t="n">
        <v>0</v>
      </c>
      <c r="BY49" s="34" t="n">
        <v>0</v>
      </c>
      <c r="BZ49" s="34" t="s">
        <v>200</v>
      </c>
      <c r="CA49" s="34" t="s">
        <v>202</v>
      </c>
      <c r="CB49" s="34"/>
      <c r="CC49" s="34" t="n">
        <v>1.9</v>
      </c>
      <c r="CD49" s="34" t="n">
        <v>0.17</v>
      </c>
      <c r="CE49" s="34" t="n">
        <v>0.56</v>
      </c>
      <c r="CF49" s="34" t="n">
        <v>0</v>
      </c>
      <c r="CG49" s="34" t="n">
        <v>1</v>
      </c>
      <c r="CH49" s="34" t="n">
        <v>-46</v>
      </c>
      <c r="CI49" s="34" t="n">
        <v>-1.4</v>
      </c>
      <c r="CJ49" s="34" t="n">
        <v>744</v>
      </c>
      <c r="CK49" s="34" t="n">
        <v>1</v>
      </c>
      <c r="CL49" s="34" t="n">
        <v>0.54</v>
      </c>
      <c r="CM49" s="35" t="n">
        <v>0</v>
      </c>
    </row>
    <row r="50" customFormat="false" ht="15" hidden="false" customHeight="false" outlineLevel="0" collapsed="false">
      <c r="A50" s="3" t="s">
        <v>263</v>
      </c>
      <c r="B50" s="34" t="n">
        <v>28</v>
      </c>
      <c r="C50" s="34" t="s">
        <v>197</v>
      </c>
      <c r="D50" s="34" t="s">
        <v>227</v>
      </c>
      <c r="E50" s="34" t="n">
        <v>984</v>
      </c>
      <c r="F50" s="34" t="s">
        <v>223</v>
      </c>
      <c r="G50" s="34" t="s">
        <v>200</v>
      </c>
      <c r="H50" s="34" t="n">
        <v>11</v>
      </c>
      <c r="I50" s="34" t="n">
        <v>18</v>
      </c>
      <c r="J50" s="34" t="n">
        <v>27.9</v>
      </c>
      <c r="K50" s="34" t="n">
        <v>76</v>
      </c>
      <c r="L50" s="34" t="n">
        <v>8.4</v>
      </c>
      <c r="M50" s="34" t="n">
        <v>0.22</v>
      </c>
      <c r="N50" s="34" t="n">
        <v>0.35</v>
      </c>
      <c r="O50" s="34" t="n">
        <v>0.37</v>
      </c>
      <c r="P50" s="34" t="n">
        <v>76</v>
      </c>
      <c r="Q50" s="34" t="n">
        <v>8</v>
      </c>
      <c r="R50" s="34" t="n">
        <v>2.1</v>
      </c>
      <c r="S50" s="34" t="n">
        <v>39</v>
      </c>
      <c r="T50" s="34" t="n">
        <v>1558</v>
      </c>
      <c r="U50" s="34" t="n">
        <v>2.17</v>
      </c>
      <c r="V50" s="34" t="n">
        <v>2</v>
      </c>
      <c r="W50" s="34" t="n">
        <v>4</v>
      </c>
      <c r="X50" s="34" t="n">
        <v>25.3</v>
      </c>
      <c r="Y50" s="34" t="n">
        <v>46</v>
      </c>
      <c r="Z50" s="34" t="n">
        <v>1</v>
      </c>
      <c r="AA50" s="34" t="n">
        <v>0.26</v>
      </c>
      <c r="AB50" s="34" t="n">
        <v>1</v>
      </c>
      <c r="AC50" s="34" t="n">
        <v>0</v>
      </c>
      <c r="AD50" s="34" t="n">
        <v>18</v>
      </c>
      <c r="AE50" s="34" t="n">
        <v>1</v>
      </c>
      <c r="AF50" s="34" t="n">
        <v>0.09</v>
      </c>
      <c r="AG50" s="34" t="n">
        <v>1</v>
      </c>
      <c r="AH50" s="34" t="n">
        <v>980</v>
      </c>
      <c r="AI50" s="34" t="n">
        <v>2875</v>
      </c>
      <c r="AJ50" s="34" t="n">
        <v>2.93</v>
      </c>
      <c r="AK50" s="34" t="n">
        <v>25</v>
      </c>
      <c r="AL50" s="34" t="n">
        <v>0.86</v>
      </c>
      <c r="AM50" s="34" t="n">
        <v>-0.4</v>
      </c>
      <c r="AN50" s="34" t="n">
        <v>8.6</v>
      </c>
      <c r="AO50" s="34" t="n">
        <v>1.24</v>
      </c>
      <c r="AP50" s="34" t="n">
        <v>1442</v>
      </c>
      <c r="AQ50" s="34" t="n">
        <v>131</v>
      </c>
      <c r="AR50" s="34" t="n">
        <v>0.502</v>
      </c>
      <c r="AS50" s="34" t="n">
        <v>18</v>
      </c>
      <c r="AT50" s="34" t="n">
        <v>0.46</v>
      </c>
      <c r="AU50" s="34" t="n">
        <v>420</v>
      </c>
      <c r="AV50" s="34" t="n">
        <v>23155</v>
      </c>
      <c r="AW50" s="34" t="n">
        <v>0.961</v>
      </c>
      <c r="AX50" s="34" t="n">
        <v>3</v>
      </c>
      <c r="AY50" s="34" t="n">
        <v>0.89</v>
      </c>
      <c r="AZ50" s="34" t="n">
        <v>3.8</v>
      </c>
      <c r="BA50" s="34" t="n">
        <v>2.8</v>
      </c>
      <c r="BB50" s="34" t="n">
        <v>0.39</v>
      </c>
      <c r="BC50" s="34" t="s">
        <v>200</v>
      </c>
      <c r="BD50" s="34" t="s">
        <v>207</v>
      </c>
      <c r="BE50" s="34" t="n">
        <v>1</v>
      </c>
      <c r="BF50" s="34" t="n">
        <v>0</v>
      </c>
      <c r="BG50" s="34" t="n">
        <v>0</v>
      </c>
      <c r="BH50" s="34" t="n">
        <v>1</v>
      </c>
      <c r="BI50" s="34" t="n">
        <v>0</v>
      </c>
      <c r="BJ50" s="34"/>
      <c r="BK50" s="34" t="n">
        <v>6</v>
      </c>
      <c r="BL50" s="34" t="n">
        <v>2</v>
      </c>
      <c r="BM50" s="34" t="s">
        <v>200</v>
      </c>
      <c r="BN50" s="34" t="n">
        <v>3</v>
      </c>
      <c r="BO50" s="34" t="n">
        <v>1</v>
      </c>
      <c r="BP50" s="34" t="n">
        <v>1</v>
      </c>
      <c r="BQ50" s="34" t="s">
        <v>254</v>
      </c>
      <c r="BR50" s="34" t="s">
        <v>200</v>
      </c>
      <c r="BS50" s="34" t="n">
        <v>0.37</v>
      </c>
      <c r="BT50" s="34" t="n">
        <v>1</v>
      </c>
      <c r="BU50" s="34" t="n">
        <v>0.4</v>
      </c>
      <c r="BV50" s="34" t="n">
        <v>0.28</v>
      </c>
      <c r="BW50" s="34" t="n">
        <v>2</v>
      </c>
      <c r="BX50" s="34" t="n">
        <v>1</v>
      </c>
      <c r="BY50" s="34" t="n">
        <v>3</v>
      </c>
      <c r="BZ50" s="34" t="s">
        <v>200</v>
      </c>
      <c r="CA50" s="34" t="s">
        <v>204</v>
      </c>
      <c r="CB50" s="34"/>
      <c r="CC50" s="34" t="n">
        <v>2.4</v>
      </c>
      <c r="CD50" s="34" t="n">
        <v>0.26</v>
      </c>
      <c r="CE50" s="34" t="n">
        <v>0.58</v>
      </c>
      <c r="CF50" s="34" t="n">
        <v>1</v>
      </c>
      <c r="CG50" s="34" t="n">
        <v>2</v>
      </c>
      <c r="CH50" s="34" t="n">
        <v>75</v>
      </c>
      <c r="CI50" s="34" t="n">
        <v>6.2</v>
      </c>
      <c r="CJ50" s="34" t="n">
        <v>3957</v>
      </c>
      <c r="CK50" s="34" t="n">
        <v>6</v>
      </c>
      <c r="CL50" s="34" t="n">
        <v>0.76</v>
      </c>
      <c r="CM50" s="35" t="n">
        <v>1</v>
      </c>
    </row>
    <row r="51" customFormat="false" ht="15" hidden="false" customHeight="false" outlineLevel="0" collapsed="false">
      <c r="A51" s="3" t="s">
        <v>264</v>
      </c>
      <c r="B51" s="34" t="n">
        <v>39</v>
      </c>
      <c r="C51" s="34" t="s">
        <v>210</v>
      </c>
      <c r="D51" s="34" t="s">
        <v>215</v>
      </c>
      <c r="E51" s="34" t="n">
        <v>1437</v>
      </c>
      <c r="F51" s="34" t="s">
        <v>211</v>
      </c>
      <c r="G51" s="34" t="s">
        <v>200</v>
      </c>
      <c r="H51" s="34" t="n">
        <v>4</v>
      </c>
      <c r="I51" s="34" t="n">
        <v>4</v>
      </c>
      <c r="J51" s="34" t="n">
        <v>48.7</v>
      </c>
      <c r="K51" s="34" t="n">
        <v>101</v>
      </c>
      <c r="L51" s="34" t="n">
        <v>3.2</v>
      </c>
      <c r="M51" s="34" t="n">
        <v>0</v>
      </c>
      <c r="N51" s="34" t="n">
        <v>0.36</v>
      </c>
      <c r="O51" s="34" t="n">
        <v>0.01</v>
      </c>
      <c r="P51" s="34" t="n">
        <v>75</v>
      </c>
      <c r="Q51" s="34" t="n">
        <v>1</v>
      </c>
      <c r="R51" s="34" t="n">
        <v>0.4</v>
      </c>
      <c r="S51" s="34" t="n">
        <v>1</v>
      </c>
      <c r="T51" s="34" t="n">
        <v>16</v>
      </c>
      <c r="U51" s="34" t="n">
        <v>0.25</v>
      </c>
      <c r="V51" s="34" t="n">
        <v>1</v>
      </c>
      <c r="W51" s="34" t="n">
        <v>1</v>
      </c>
      <c r="X51" s="34" t="n">
        <v>810</v>
      </c>
      <c r="Y51" s="34" t="n">
        <v>-56</v>
      </c>
      <c r="Z51" s="34" t="n">
        <v>0</v>
      </c>
      <c r="AA51" s="34" t="n">
        <v>0</v>
      </c>
      <c r="AB51" s="34" t="n">
        <v>0.08</v>
      </c>
      <c r="AC51" s="34" t="n">
        <v>4</v>
      </c>
      <c r="AD51" s="34" t="n">
        <v>34</v>
      </c>
      <c r="AE51" s="34" t="n">
        <v>0</v>
      </c>
      <c r="AF51" s="34" t="n">
        <v>0.95</v>
      </c>
      <c r="AG51" s="34" t="n">
        <v>0</v>
      </c>
      <c r="AH51" s="34" t="n">
        <v>93</v>
      </c>
      <c r="AI51" s="34" t="n">
        <v>19</v>
      </c>
      <c r="AJ51" s="34" t="n">
        <v>0.2</v>
      </c>
      <c r="AK51" s="34" t="n">
        <v>1</v>
      </c>
      <c r="AL51" s="34" t="n">
        <v>0.27</v>
      </c>
      <c r="AM51" s="34" t="n">
        <v>-8.4</v>
      </c>
      <c r="AN51" s="34" t="n">
        <v>2.4</v>
      </c>
      <c r="AO51" s="34" t="n">
        <v>0.71</v>
      </c>
      <c r="AP51" s="34" t="n">
        <v>1</v>
      </c>
      <c r="AQ51" s="34" t="n">
        <v>0</v>
      </c>
      <c r="AR51" s="34" t="n">
        <v>0.053</v>
      </c>
      <c r="AS51" s="34" t="n">
        <v>-42</v>
      </c>
      <c r="AT51" s="34" t="n">
        <v>0</v>
      </c>
      <c r="AU51" s="34" t="n">
        <v>0</v>
      </c>
      <c r="AV51" s="34" t="n">
        <v>18</v>
      </c>
      <c r="AW51" s="34" t="n">
        <v>0</v>
      </c>
      <c r="AX51" s="34" t="n">
        <v>1</v>
      </c>
      <c r="AY51" s="34" t="n">
        <v>0.31</v>
      </c>
      <c r="AZ51" s="34" t="n">
        <v>2.4</v>
      </c>
      <c r="BA51" s="34" t="n">
        <v>1</v>
      </c>
      <c r="BB51" s="34" t="n">
        <v>0.23</v>
      </c>
      <c r="BC51" s="34" t="s">
        <v>200</v>
      </c>
      <c r="BD51" s="34" t="s">
        <v>200</v>
      </c>
      <c r="BE51" s="34" t="n">
        <v>1</v>
      </c>
      <c r="BF51" s="34" t="n">
        <v>0</v>
      </c>
      <c r="BG51" s="34" t="n">
        <v>1</v>
      </c>
      <c r="BH51" s="34" t="n">
        <v>0</v>
      </c>
      <c r="BI51" s="34" t="n">
        <v>0</v>
      </c>
      <c r="BJ51" s="34"/>
      <c r="BK51" s="34" t="n">
        <v>9.2</v>
      </c>
      <c r="BL51" s="34" t="n">
        <v>1</v>
      </c>
      <c r="BM51" s="34" t="s">
        <v>200</v>
      </c>
      <c r="BN51" s="34" t="n">
        <v>1</v>
      </c>
      <c r="BO51" s="34" t="n">
        <v>0</v>
      </c>
      <c r="BP51" s="34" t="n">
        <v>0</v>
      </c>
      <c r="BQ51" s="34" t="s">
        <v>208</v>
      </c>
      <c r="BR51" s="34" t="s">
        <v>200</v>
      </c>
      <c r="BS51" s="34" t="n">
        <v>0.33</v>
      </c>
      <c r="BT51" s="34" t="n">
        <v>0</v>
      </c>
      <c r="BU51" s="34" t="n">
        <v>0.06</v>
      </c>
      <c r="BV51" s="34" t="n">
        <v>0.01</v>
      </c>
      <c r="BW51" s="34" t="n">
        <v>0</v>
      </c>
      <c r="BX51" s="34" t="n">
        <v>0</v>
      </c>
      <c r="BY51" s="34" t="n">
        <v>0</v>
      </c>
      <c r="BZ51" s="34" t="s">
        <v>200</v>
      </c>
      <c r="CA51" s="34" t="s">
        <v>202</v>
      </c>
      <c r="CB51" s="34"/>
      <c r="CC51" s="34" t="n">
        <v>1</v>
      </c>
      <c r="CD51" s="34" t="n">
        <v>0.11</v>
      </c>
      <c r="CE51" s="34" t="n">
        <v>0.51</v>
      </c>
      <c r="CF51" s="34" t="n">
        <v>0</v>
      </c>
      <c r="CG51" s="34" t="n">
        <v>1</v>
      </c>
      <c r="CH51" s="34" t="n">
        <v>-71</v>
      </c>
      <c r="CI51" s="34" t="n">
        <v>-9.9</v>
      </c>
      <c r="CJ51" s="34" t="n">
        <v>6</v>
      </c>
      <c r="CK51" s="34" t="n">
        <v>6</v>
      </c>
      <c r="CL51" s="34" t="n">
        <v>0.19</v>
      </c>
      <c r="CM51" s="35" t="n">
        <v>0</v>
      </c>
    </row>
    <row r="52" customFormat="false" ht="15" hidden="false" customHeight="false" outlineLevel="0" collapsed="false">
      <c r="A52" s="3" t="s">
        <v>265</v>
      </c>
      <c r="B52" s="34" t="n">
        <v>49</v>
      </c>
      <c r="C52" s="34" t="s">
        <v>197</v>
      </c>
      <c r="D52" s="34" t="s">
        <v>206</v>
      </c>
      <c r="E52" s="34" t="n">
        <v>1146</v>
      </c>
      <c r="F52" s="34" t="s">
        <v>223</v>
      </c>
      <c r="G52" s="34" t="s">
        <v>200</v>
      </c>
      <c r="H52" s="34" t="n">
        <v>8</v>
      </c>
      <c r="I52" s="34" t="n">
        <v>16</v>
      </c>
      <c r="J52" s="34" t="n">
        <v>43</v>
      </c>
      <c r="K52" s="34" t="n">
        <v>113</v>
      </c>
      <c r="L52" s="34" t="n">
        <v>11.5</v>
      </c>
      <c r="M52" s="34" t="n">
        <v>0.18</v>
      </c>
      <c r="N52" s="34" t="n">
        <v>0.44</v>
      </c>
      <c r="O52" s="34" t="n">
        <v>0.25</v>
      </c>
      <c r="P52" s="34" t="n">
        <v>90</v>
      </c>
      <c r="Q52" s="34" t="n">
        <v>6</v>
      </c>
      <c r="R52" s="34" t="n">
        <v>0.8</v>
      </c>
      <c r="S52" s="34" t="n">
        <v>18</v>
      </c>
      <c r="T52" s="34" t="n">
        <v>857</v>
      </c>
      <c r="U52" s="34" t="n">
        <v>1.12</v>
      </c>
      <c r="V52" s="34" t="n">
        <v>3</v>
      </c>
      <c r="W52" s="34" t="n">
        <v>3</v>
      </c>
      <c r="X52" s="34" t="n">
        <v>37.5</v>
      </c>
      <c r="Y52" s="34" t="n">
        <v>24</v>
      </c>
      <c r="Z52" s="34" t="n">
        <v>0</v>
      </c>
      <c r="AA52" s="34" t="n">
        <v>0.24</v>
      </c>
      <c r="AB52" s="34" t="n">
        <v>0.76</v>
      </c>
      <c r="AC52" s="34" t="n">
        <v>2</v>
      </c>
      <c r="AD52" s="34" t="n">
        <v>83</v>
      </c>
      <c r="AE52" s="34" t="n">
        <v>0</v>
      </c>
      <c r="AF52" s="34" t="n">
        <v>0.42</v>
      </c>
      <c r="AG52" s="34" t="n">
        <v>1</v>
      </c>
      <c r="AH52" s="34" t="n">
        <v>908</v>
      </c>
      <c r="AI52" s="34" t="n">
        <v>1062</v>
      </c>
      <c r="AJ52" s="34" t="n">
        <v>1.17</v>
      </c>
      <c r="AK52" s="34" t="n">
        <v>10</v>
      </c>
      <c r="AL52" s="34" t="n">
        <v>0.88</v>
      </c>
      <c r="AM52" s="34" t="n">
        <v>19.1</v>
      </c>
      <c r="AN52" s="34" t="n">
        <v>4.8</v>
      </c>
      <c r="AO52" s="34" t="n">
        <v>1.15</v>
      </c>
      <c r="AP52" s="34" t="n">
        <v>566</v>
      </c>
      <c r="AQ52" s="34" t="n">
        <v>71</v>
      </c>
      <c r="AR52" s="34" t="n">
        <v>0.533</v>
      </c>
      <c r="AS52" s="34" t="n">
        <v>85</v>
      </c>
      <c r="AT52" s="34" t="n">
        <v>0.38</v>
      </c>
      <c r="AU52" s="34" t="n">
        <v>319</v>
      </c>
      <c r="AV52" s="34" t="n">
        <v>12706</v>
      </c>
      <c r="AW52" s="34" t="n">
        <v>0.377</v>
      </c>
      <c r="AX52" s="34" t="n">
        <v>1</v>
      </c>
      <c r="AY52" s="34" t="n">
        <v>0.66</v>
      </c>
      <c r="AZ52" s="34" t="n">
        <v>3</v>
      </c>
      <c r="BA52" s="34" t="n">
        <v>4.2</v>
      </c>
      <c r="BB52" s="34" t="n">
        <v>0.37</v>
      </c>
      <c r="BC52" s="34" t="s">
        <v>200</v>
      </c>
      <c r="BD52" s="34" t="s">
        <v>200</v>
      </c>
      <c r="BE52" s="34" t="n">
        <v>1</v>
      </c>
      <c r="BF52" s="34" t="n">
        <v>0</v>
      </c>
      <c r="BG52" s="34" t="n">
        <v>0</v>
      </c>
      <c r="BH52" s="34" t="n">
        <v>0</v>
      </c>
      <c r="BI52" s="34" t="n">
        <v>0</v>
      </c>
      <c r="BJ52" s="34"/>
      <c r="BK52" s="34" t="n">
        <v>6.3</v>
      </c>
      <c r="BL52" s="34" t="n">
        <v>1</v>
      </c>
      <c r="BM52" s="34" t="s">
        <v>200</v>
      </c>
      <c r="BN52" s="34" t="n">
        <v>3</v>
      </c>
      <c r="BO52" s="34" t="n">
        <v>1</v>
      </c>
      <c r="BP52" s="34" t="n">
        <v>2</v>
      </c>
      <c r="BQ52" s="34" t="s">
        <v>208</v>
      </c>
      <c r="BR52" s="34" t="s">
        <v>200</v>
      </c>
      <c r="BS52" s="34" t="n">
        <v>0.43</v>
      </c>
      <c r="BT52" s="34" t="n">
        <v>0</v>
      </c>
      <c r="BU52" s="34" t="n">
        <v>0.09</v>
      </c>
      <c r="BV52" s="34" t="n">
        <v>0.34</v>
      </c>
      <c r="BW52" s="34" t="n">
        <v>2</v>
      </c>
      <c r="BX52" s="34" t="n">
        <v>0</v>
      </c>
      <c r="BY52" s="34" t="n">
        <v>0</v>
      </c>
      <c r="BZ52" s="34" t="s">
        <v>200</v>
      </c>
      <c r="CA52" s="34" t="s">
        <v>230</v>
      </c>
      <c r="CB52" s="34" t="n">
        <v>6</v>
      </c>
      <c r="CC52" s="34" t="n">
        <v>3.2</v>
      </c>
      <c r="CD52" s="34" t="n">
        <v>0.15</v>
      </c>
      <c r="CE52" s="34" t="n">
        <v>0.61</v>
      </c>
      <c r="CF52" s="34" t="n">
        <v>1</v>
      </c>
      <c r="CG52" s="34" t="n">
        <v>1</v>
      </c>
      <c r="CH52" s="34" t="n">
        <v>27</v>
      </c>
      <c r="CI52" s="34" t="n">
        <v>4.4</v>
      </c>
      <c r="CJ52" s="34" t="n">
        <v>1181</v>
      </c>
      <c r="CK52" s="34" t="n">
        <v>6</v>
      </c>
      <c r="CL52" s="34" t="n">
        <v>0.59</v>
      </c>
      <c r="CM52" s="35" t="n">
        <v>0</v>
      </c>
    </row>
    <row r="53" customFormat="false" ht="15" hidden="false" customHeight="false" outlineLevel="0" collapsed="false">
      <c r="A53" s="3" t="s">
        <v>266</v>
      </c>
      <c r="B53" s="34" t="n">
        <v>40</v>
      </c>
      <c r="C53" s="34" t="s">
        <v>197</v>
      </c>
      <c r="D53" s="34" t="s">
        <v>215</v>
      </c>
      <c r="E53" s="34" t="n">
        <v>705</v>
      </c>
      <c r="F53" s="34" t="s">
        <v>211</v>
      </c>
      <c r="G53" s="34" t="s">
        <v>200</v>
      </c>
      <c r="H53" s="34" t="n">
        <v>1</v>
      </c>
      <c r="I53" s="34" t="n">
        <v>2</v>
      </c>
      <c r="J53" s="34" t="n">
        <v>32.7</v>
      </c>
      <c r="K53" s="34" t="n">
        <v>65</v>
      </c>
      <c r="L53" s="34" t="n">
        <v>1.1</v>
      </c>
      <c r="M53" s="34" t="n">
        <v>0</v>
      </c>
      <c r="N53" s="34" t="n">
        <v>0.34</v>
      </c>
      <c r="O53" s="34" t="n">
        <v>0.23</v>
      </c>
      <c r="P53" s="34" t="n">
        <v>55</v>
      </c>
      <c r="Q53" s="34" t="n">
        <v>1</v>
      </c>
      <c r="R53" s="34" t="n">
        <v>0.6</v>
      </c>
      <c r="S53" s="34" t="n">
        <v>3</v>
      </c>
      <c r="T53" s="34" t="n">
        <v>30</v>
      </c>
      <c r="U53" s="34" t="n">
        <v>1.5</v>
      </c>
      <c r="V53" s="34" t="n">
        <v>2</v>
      </c>
      <c r="W53" s="34" t="n">
        <v>1</v>
      </c>
      <c r="X53" s="34" t="n">
        <v>162</v>
      </c>
      <c r="Y53" s="34" t="n">
        <v>36</v>
      </c>
      <c r="Z53" s="34" t="n">
        <v>0</v>
      </c>
      <c r="AA53" s="34" t="n">
        <v>0.02</v>
      </c>
      <c r="AB53" s="34" t="n">
        <v>0.28</v>
      </c>
      <c r="AC53" s="34" t="n">
        <v>1</v>
      </c>
      <c r="AD53" s="34" t="n">
        <v>87</v>
      </c>
      <c r="AE53" s="34" t="n">
        <v>0</v>
      </c>
      <c r="AF53" s="34" t="n">
        <v>0.54</v>
      </c>
      <c r="AG53" s="34" t="n">
        <v>0</v>
      </c>
      <c r="AH53" s="34" t="n">
        <v>135</v>
      </c>
      <c r="AI53" s="34" t="n">
        <v>122</v>
      </c>
      <c r="AJ53" s="34" t="n">
        <v>0.9</v>
      </c>
      <c r="AK53" s="34" t="n">
        <v>8</v>
      </c>
      <c r="AL53" s="34" t="n">
        <v>0.51</v>
      </c>
      <c r="AM53" s="34" t="n">
        <v>1</v>
      </c>
      <c r="AN53" s="34" t="n">
        <v>4.7</v>
      </c>
      <c r="AO53" s="34" t="n">
        <v>0.94</v>
      </c>
      <c r="AP53" s="34" t="n">
        <v>15</v>
      </c>
      <c r="AQ53" s="34" t="n">
        <v>15</v>
      </c>
      <c r="AR53" s="34" t="n">
        <v>0.123</v>
      </c>
      <c r="AS53" s="34" t="n">
        <v>-22</v>
      </c>
      <c r="AT53" s="34" t="n">
        <v>0.37</v>
      </c>
      <c r="AU53" s="34" t="n">
        <v>6</v>
      </c>
      <c r="AV53" s="34" t="n">
        <v>102</v>
      </c>
      <c r="AW53" s="34" t="n">
        <v>0.002</v>
      </c>
      <c r="AX53" s="34" t="n">
        <v>2</v>
      </c>
      <c r="AY53" s="34" t="n">
        <v>0.51</v>
      </c>
      <c r="AZ53" s="34" t="n">
        <v>4</v>
      </c>
      <c r="BA53" s="34" t="n">
        <v>3.9</v>
      </c>
      <c r="BB53" s="34" t="n">
        <v>0.37</v>
      </c>
      <c r="BC53" s="34" t="s">
        <v>200</v>
      </c>
      <c r="BD53" s="34" t="s">
        <v>207</v>
      </c>
      <c r="BE53" s="34" t="n">
        <v>0</v>
      </c>
      <c r="BF53" s="34" t="n">
        <v>0</v>
      </c>
      <c r="BG53" s="34" t="n">
        <v>0</v>
      </c>
      <c r="BH53" s="34" t="n">
        <v>0</v>
      </c>
      <c r="BI53" s="34" t="n">
        <v>0</v>
      </c>
      <c r="BJ53" s="34"/>
      <c r="BK53" s="34" t="n">
        <v>7.6</v>
      </c>
      <c r="BL53" s="34" t="n">
        <v>1</v>
      </c>
      <c r="BM53" s="34" t="s">
        <v>200</v>
      </c>
      <c r="BN53" s="34" t="n">
        <v>2</v>
      </c>
      <c r="BO53" s="34" t="n">
        <v>0</v>
      </c>
      <c r="BP53" s="34" t="n">
        <v>1</v>
      </c>
      <c r="BQ53" s="34" t="s">
        <v>208</v>
      </c>
      <c r="BR53" s="34" t="s">
        <v>200</v>
      </c>
      <c r="BS53" s="34" t="n">
        <v>0.25</v>
      </c>
      <c r="BT53" s="34" t="n">
        <v>0</v>
      </c>
      <c r="BU53" s="34" t="n">
        <v>0.1</v>
      </c>
      <c r="BV53" s="34" t="n">
        <v>0.59</v>
      </c>
      <c r="BW53" s="34" t="n">
        <v>3</v>
      </c>
      <c r="BX53" s="34" t="n">
        <v>0</v>
      </c>
      <c r="BY53" s="34" t="n">
        <v>0</v>
      </c>
      <c r="BZ53" s="34" t="s">
        <v>200</v>
      </c>
      <c r="CA53" s="34" t="s">
        <v>202</v>
      </c>
      <c r="CB53" s="34"/>
      <c r="CC53" s="34" t="n">
        <v>1.9</v>
      </c>
      <c r="CD53" s="34" t="n">
        <v>0.23</v>
      </c>
      <c r="CE53" s="34" t="n">
        <v>0.75</v>
      </c>
      <c r="CF53" s="34" t="n">
        <v>0</v>
      </c>
      <c r="CG53" s="34" t="n">
        <v>1</v>
      </c>
      <c r="CH53" s="34" t="n">
        <v>54</v>
      </c>
      <c r="CI53" s="34" t="n">
        <v>6.6</v>
      </c>
      <c r="CJ53" s="34" t="n">
        <v>66</v>
      </c>
      <c r="CK53" s="34" t="n">
        <v>6</v>
      </c>
      <c r="CL53" s="34" t="n">
        <v>0.25</v>
      </c>
      <c r="CM53" s="35" t="n">
        <v>0</v>
      </c>
    </row>
    <row r="54" customFormat="false" ht="15" hidden="false" customHeight="false" outlineLevel="0" collapsed="false">
      <c r="A54" s="3" t="s">
        <v>267</v>
      </c>
      <c r="B54" s="34" t="n">
        <v>56</v>
      </c>
      <c r="C54" s="34" t="s">
        <v>197</v>
      </c>
      <c r="D54" s="34" t="s">
        <v>215</v>
      </c>
      <c r="E54" s="34" t="n">
        <v>715</v>
      </c>
      <c r="F54" s="34" t="s">
        <v>211</v>
      </c>
      <c r="G54" s="34" t="s">
        <v>200</v>
      </c>
      <c r="H54" s="34" t="n">
        <v>4</v>
      </c>
      <c r="I54" s="34" t="n">
        <v>4</v>
      </c>
      <c r="J54" s="34" t="n">
        <v>50.8</v>
      </c>
      <c r="K54" s="34" t="n">
        <v>125</v>
      </c>
      <c r="L54" s="34" t="n">
        <v>3.4</v>
      </c>
      <c r="M54" s="34" t="n">
        <v>0.06</v>
      </c>
      <c r="N54" s="34" t="n">
        <v>0.41</v>
      </c>
      <c r="O54" s="34" t="n">
        <v>0.18</v>
      </c>
      <c r="P54" s="34" t="n">
        <v>99</v>
      </c>
      <c r="Q54" s="34" t="n">
        <v>3</v>
      </c>
      <c r="R54" s="34" t="n">
        <v>0.1</v>
      </c>
      <c r="S54" s="34" t="n">
        <v>1</v>
      </c>
      <c r="T54" s="34" t="n">
        <v>42</v>
      </c>
      <c r="U54" s="34" t="n">
        <v>0.25</v>
      </c>
      <c r="V54" s="34" t="n">
        <v>2</v>
      </c>
      <c r="W54" s="34" t="n">
        <v>0</v>
      </c>
      <c r="X54" s="34" t="n">
        <v>516.3</v>
      </c>
      <c r="Y54" s="34" t="n">
        <v>10</v>
      </c>
      <c r="Z54" s="34" t="n">
        <v>0</v>
      </c>
      <c r="AA54" s="34" t="n">
        <v>0.07</v>
      </c>
      <c r="AB54" s="34" t="n">
        <v>0.2</v>
      </c>
      <c r="AC54" s="34" t="n">
        <v>2</v>
      </c>
      <c r="AD54" s="34" t="n">
        <v>110</v>
      </c>
      <c r="AE54" s="34" t="n">
        <v>0</v>
      </c>
      <c r="AF54" s="34" t="n">
        <v>0.77</v>
      </c>
      <c r="AG54" s="34" t="n">
        <v>2</v>
      </c>
      <c r="AH54" s="34" t="n">
        <v>153</v>
      </c>
      <c r="AI54" s="34" t="n">
        <v>115</v>
      </c>
      <c r="AJ54" s="34" t="n">
        <v>0.75</v>
      </c>
      <c r="AK54" s="34" t="n">
        <v>4</v>
      </c>
      <c r="AL54" s="34" t="n">
        <v>0.35</v>
      </c>
      <c r="AM54" s="34" t="n">
        <v>-7.5</v>
      </c>
      <c r="AN54" s="34" t="n">
        <v>1.8</v>
      </c>
      <c r="AO54" s="34" t="n">
        <v>0.73</v>
      </c>
      <c r="AP54" s="34" t="n">
        <v>18</v>
      </c>
      <c r="AQ54" s="34" t="n">
        <v>4</v>
      </c>
      <c r="AR54" s="34" t="n">
        <v>0.157</v>
      </c>
      <c r="AS54" s="34" t="n">
        <v>-23</v>
      </c>
      <c r="AT54" s="34" t="n">
        <v>0.11</v>
      </c>
      <c r="AU54" s="34" t="n">
        <v>6</v>
      </c>
      <c r="AV54" s="34" t="n">
        <v>175</v>
      </c>
      <c r="AW54" s="34" t="n">
        <v>0.003</v>
      </c>
      <c r="AX54" s="34" t="n">
        <v>1</v>
      </c>
      <c r="AY54" s="34" t="n">
        <v>0.56</v>
      </c>
      <c r="AZ54" s="34" t="n">
        <v>2.5</v>
      </c>
      <c r="BA54" s="34" t="n">
        <v>1</v>
      </c>
      <c r="BB54" s="34" t="n">
        <v>0.14</v>
      </c>
      <c r="BC54" s="34" t="s">
        <v>200</v>
      </c>
      <c r="BD54" s="34" t="s">
        <v>200</v>
      </c>
      <c r="BE54" s="34" t="n">
        <v>0</v>
      </c>
      <c r="BF54" s="34" t="n">
        <v>0</v>
      </c>
      <c r="BG54" s="34" t="n">
        <v>0</v>
      </c>
      <c r="BH54" s="34" t="n">
        <v>0</v>
      </c>
      <c r="BI54" s="34" t="n">
        <v>0</v>
      </c>
      <c r="BJ54" s="34"/>
      <c r="BK54" s="34" t="n">
        <v>7.8</v>
      </c>
      <c r="BL54" s="34" t="n">
        <v>0</v>
      </c>
      <c r="BM54" s="34" t="s">
        <v>200</v>
      </c>
      <c r="BN54" s="34" t="n">
        <v>2</v>
      </c>
      <c r="BO54" s="34" t="n">
        <v>0</v>
      </c>
      <c r="BP54" s="34" t="n">
        <v>2</v>
      </c>
      <c r="BQ54" s="34" t="s">
        <v>201</v>
      </c>
      <c r="BR54" s="34" t="s">
        <v>200</v>
      </c>
      <c r="BS54" s="34" t="n">
        <v>0.34</v>
      </c>
      <c r="BT54" s="34" t="n">
        <v>0</v>
      </c>
      <c r="BU54" s="34" t="n">
        <v>0.15</v>
      </c>
      <c r="BV54" s="34" t="n">
        <v>0</v>
      </c>
      <c r="BW54" s="34" t="n">
        <v>0</v>
      </c>
      <c r="BX54" s="34" t="n">
        <v>0</v>
      </c>
      <c r="BY54" s="34" t="n">
        <v>0</v>
      </c>
      <c r="BZ54" s="34" t="s">
        <v>200</v>
      </c>
      <c r="CA54" s="34" t="s">
        <v>202</v>
      </c>
      <c r="CB54" s="34"/>
      <c r="CC54" s="34" t="n">
        <v>1.1</v>
      </c>
      <c r="CD54" s="34" t="n">
        <v>0.13</v>
      </c>
      <c r="CE54" s="34" t="n">
        <v>0.66</v>
      </c>
      <c r="CF54" s="34" t="n">
        <v>0</v>
      </c>
      <c r="CG54" s="34" t="n">
        <v>2</v>
      </c>
      <c r="CH54" s="34" t="n">
        <v>-19</v>
      </c>
      <c r="CI54" s="34" t="n">
        <v>0.9</v>
      </c>
      <c r="CJ54" s="34" t="n">
        <v>99</v>
      </c>
      <c r="CK54" s="34" t="n">
        <v>6</v>
      </c>
      <c r="CL54" s="34" t="n">
        <v>0.19</v>
      </c>
      <c r="CM54" s="35" t="n">
        <v>0</v>
      </c>
    </row>
    <row r="55" customFormat="false" ht="15" hidden="false" customHeight="false" outlineLevel="0" collapsed="false">
      <c r="A55" s="3" t="s">
        <v>268</v>
      </c>
      <c r="B55" s="34" t="n">
        <v>30</v>
      </c>
      <c r="C55" s="34" t="s">
        <v>197</v>
      </c>
      <c r="D55" s="34" t="s">
        <v>215</v>
      </c>
      <c r="E55" s="34" t="n">
        <v>616</v>
      </c>
      <c r="F55" s="34" t="s">
        <v>199</v>
      </c>
      <c r="G55" s="34" t="s">
        <v>200</v>
      </c>
      <c r="H55" s="34" t="n">
        <v>10</v>
      </c>
      <c r="I55" s="34" t="n">
        <v>24</v>
      </c>
      <c r="J55" s="34" t="n">
        <v>25.2</v>
      </c>
      <c r="K55" s="34" t="n">
        <v>59</v>
      </c>
      <c r="L55" s="34" t="n">
        <v>10.1</v>
      </c>
      <c r="M55" s="34" t="n">
        <v>0.22</v>
      </c>
      <c r="N55" s="34" t="n">
        <v>0.45</v>
      </c>
      <c r="O55" s="34" t="n">
        <v>0.26</v>
      </c>
      <c r="P55" s="34" t="n">
        <v>59</v>
      </c>
      <c r="Q55" s="34" t="n">
        <v>8</v>
      </c>
      <c r="R55" s="34" t="n">
        <v>3.3</v>
      </c>
      <c r="S55" s="34" t="n">
        <v>30</v>
      </c>
      <c r="T55" s="34" t="n">
        <v>2424</v>
      </c>
      <c r="U55" s="34" t="n">
        <v>1.25</v>
      </c>
      <c r="V55" s="34" t="n">
        <v>5</v>
      </c>
      <c r="W55" s="34" t="n">
        <v>5</v>
      </c>
      <c r="X55" s="34" t="n">
        <v>15.9</v>
      </c>
      <c r="Y55" s="34" t="n">
        <v>109</v>
      </c>
      <c r="Z55" s="34" t="n">
        <v>1</v>
      </c>
      <c r="AA55" s="34" t="n">
        <v>0.22</v>
      </c>
      <c r="AB55" s="34" t="n">
        <v>1</v>
      </c>
      <c r="AC55" s="34" t="n">
        <v>0</v>
      </c>
      <c r="AD55" s="34" t="n">
        <v>0</v>
      </c>
      <c r="AE55" s="34" t="n">
        <v>2</v>
      </c>
      <c r="AF55" s="34" t="n">
        <v>0.29</v>
      </c>
      <c r="AG55" s="34" t="n">
        <v>2</v>
      </c>
      <c r="AH55" s="34" t="n">
        <v>2221</v>
      </c>
      <c r="AI55" s="34" t="n">
        <v>4632</v>
      </c>
      <c r="AJ55" s="34" t="n">
        <v>2.09</v>
      </c>
      <c r="AK55" s="34" t="n">
        <v>29</v>
      </c>
      <c r="AL55" s="34" t="n">
        <v>0.79</v>
      </c>
      <c r="AM55" s="34" t="n">
        <v>13.9</v>
      </c>
      <c r="AN55" s="34" t="n">
        <v>6.4</v>
      </c>
      <c r="AO55" s="34" t="n">
        <v>1.58</v>
      </c>
      <c r="AP55" s="34" t="n">
        <v>1896</v>
      </c>
      <c r="AQ55" s="34" t="n">
        <v>190</v>
      </c>
      <c r="AR55" s="34" t="n">
        <v>0.409</v>
      </c>
      <c r="AS55" s="34" t="n">
        <v>82</v>
      </c>
      <c r="AT55" s="34" t="n">
        <v>0.5</v>
      </c>
      <c r="AU55" s="34" t="n">
        <v>1403</v>
      </c>
      <c r="AV55" s="34" t="n">
        <v>11607</v>
      </c>
      <c r="AW55" s="34" t="n">
        <v>0.632</v>
      </c>
      <c r="AX55" s="34" t="n">
        <v>3</v>
      </c>
      <c r="AY55" s="34" t="n">
        <v>0.42</v>
      </c>
      <c r="AZ55" s="34" t="n">
        <v>3.9</v>
      </c>
      <c r="BA55" s="34" t="n">
        <v>3.5</v>
      </c>
      <c r="BB55" s="34" t="n">
        <v>0.27</v>
      </c>
      <c r="BC55" s="34" t="s">
        <v>200</v>
      </c>
      <c r="BD55" s="34" t="s">
        <v>200</v>
      </c>
      <c r="BE55" s="34" t="n">
        <v>2</v>
      </c>
      <c r="BF55" s="34" t="n">
        <v>1</v>
      </c>
      <c r="BG55" s="34" t="n">
        <v>0</v>
      </c>
      <c r="BH55" s="34" t="n">
        <v>2</v>
      </c>
      <c r="BI55" s="34" t="n">
        <v>2</v>
      </c>
      <c r="BJ55" s="34" t="s">
        <v>251</v>
      </c>
      <c r="BK55" s="34" t="n">
        <v>3.1</v>
      </c>
      <c r="BL55" s="34" t="n">
        <v>2</v>
      </c>
      <c r="BM55" s="34" t="s">
        <v>200</v>
      </c>
      <c r="BN55" s="34" t="n">
        <v>3</v>
      </c>
      <c r="BO55" s="34" t="n">
        <v>1</v>
      </c>
      <c r="BP55" s="34" t="n">
        <v>2</v>
      </c>
      <c r="BQ55" s="34" t="s">
        <v>201</v>
      </c>
      <c r="BR55" s="34" t="s">
        <v>200</v>
      </c>
      <c r="BS55" s="34" t="n">
        <v>0.54</v>
      </c>
      <c r="BT55" s="34" t="n">
        <v>1</v>
      </c>
      <c r="BU55" s="34" t="n">
        <v>0.47</v>
      </c>
      <c r="BV55" s="34" t="n">
        <v>0.45</v>
      </c>
      <c r="BW55" s="34" t="n">
        <v>5</v>
      </c>
      <c r="BX55" s="34" t="n">
        <v>1</v>
      </c>
      <c r="BY55" s="34" t="n">
        <v>1</v>
      </c>
      <c r="BZ55" s="34" t="s">
        <v>207</v>
      </c>
      <c r="CA55" s="34" t="s">
        <v>256</v>
      </c>
      <c r="CB55" s="34"/>
      <c r="CC55" s="34" t="n">
        <v>4.1</v>
      </c>
      <c r="CD55" s="34" t="n">
        <v>0.23</v>
      </c>
      <c r="CE55" s="34" t="n">
        <v>0.64</v>
      </c>
      <c r="CF55" s="34" t="n">
        <v>1</v>
      </c>
      <c r="CG55" s="34" t="n">
        <v>2</v>
      </c>
      <c r="CH55" s="34" t="n">
        <v>85</v>
      </c>
      <c r="CI55" s="34" t="n">
        <v>16.6</v>
      </c>
      <c r="CJ55" s="34" t="n">
        <v>6947</v>
      </c>
      <c r="CK55" s="34" t="n">
        <v>6</v>
      </c>
      <c r="CL55" s="34" t="n">
        <v>0.59</v>
      </c>
      <c r="CM55" s="35" t="n">
        <v>1</v>
      </c>
    </row>
    <row r="56" customFormat="false" ht="15" hidden="false" customHeight="false" outlineLevel="0" collapsed="false">
      <c r="A56" s="3" t="s">
        <v>269</v>
      </c>
      <c r="B56" s="34" t="n">
        <v>30</v>
      </c>
      <c r="C56" s="34" t="s">
        <v>197</v>
      </c>
      <c r="D56" s="34" t="s">
        <v>206</v>
      </c>
      <c r="E56" s="34" t="n">
        <v>87</v>
      </c>
      <c r="F56" s="34" t="s">
        <v>199</v>
      </c>
      <c r="G56" s="34" t="s">
        <v>200</v>
      </c>
      <c r="H56" s="34" t="n">
        <v>8</v>
      </c>
      <c r="I56" s="34" t="n">
        <v>14</v>
      </c>
      <c r="J56" s="34" t="n">
        <v>30.1</v>
      </c>
      <c r="K56" s="34" t="n">
        <v>74</v>
      </c>
      <c r="L56" s="34" t="n">
        <v>7</v>
      </c>
      <c r="M56" s="34" t="n">
        <v>0.14</v>
      </c>
      <c r="N56" s="34" t="n">
        <v>0.32</v>
      </c>
      <c r="O56" s="34" t="n">
        <v>0.12</v>
      </c>
      <c r="P56" s="34" t="n">
        <v>74</v>
      </c>
      <c r="Q56" s="34" t="n">
        <v>8</v>
      </c>
      <c r="R56" s="34" t="n">
        <v>1</v>
      </c>
      <c r="S56" s="34" t="n">
        <v>26</v>
      </c>
      <c r="T56" s="34" t="n">
        <v>1109</v>
      </c>
      <c r="U56" s="34" t="n">
        <v>1.86</v>
      </c>
      <c r="V56" s="34" t="n">
        <v>2</v>
      </c>
      <c r="W56" s="34" t="n">
        <v>3</v>
      </c>
      <c r="X56" s="34" t="n">
        <v>31.7</v>
      </c>
      <c r="Y56" s="34" t="n">
        <v>-18</v>
      </c>
      <c r="Z56" s="34" t="n">
        <v>0</v>
      </c>
      <c r="AA56" s="34" t="n">
        <v>0.17</v>
      </c>
      <c r="AB56" s="34" t="n">
        <v>0.63</v>
      </c>
      <c r="AC56" s="34" t="n">
        <v>3</v>
      </c>
      <c r="AD56" s="34" t="n">
        <v>96</v>
      </c>
      <c r="AE56" s="34" t="n">
        <v>1</v>
      </c>
      <c r="AF56" s="34" t="n">
        <v>0.13</v>
      </c>
      <c r="AG56" s="34" t="n">
        <v>0</v>
      </c>
      <c r="AH56" s="34" t="n">
        <v>822</v>
      </c>
      <c r="AI56" s="34" t="n">
        <v>2201</v>
      </c>
      <c r="AJ56" s="34" t="n">
        <v>2.68</v>
      </c>
      <c r="AK56" s="34" t="n">
        <v>17</v>
      </c>
      <c r="AL56" s="34" t="n">
        <v>0.65</v>
      </c>
      <c r="AM56" s="34" t="n">
        <v>13</v>
      </c>
      <c r="AN56" s="34" t="n">
        <v>3.3</v>
      </c>
      <c r="AO56" s="34" t="n">
        <v>1.11</v>
      </c>
      <c r="AP56" s="34" t="n">
        <v>1002</v>
      </c>
      <c r="AQ56" s="34" t="n">
        <v>125</v>
      </c>
      <c r="AR56" s="34" t="n">
        <v>0.455</v>
      </c>
      <c r="AS56" s="34" t="n">
        <v>20</v>
      </c>
      <c r="AT56" s="34" t="n">
        <v>0.26</v>
      </c>
      <c r="AU56" s="34" t="n">
        <v>273</v>
      </c>
      <c r="AV56" s="34" t="n">
        <v>815</v>
      </c>
      <c r="AW56" s="34" t="n">
        <v>0.334</v>
      </c>
      <c r="AX56" s="34" t="n">
        <v>2</v>
      </c>
      <c r="AY56" s="34" t="n">
        <v>0.68</v>
      </c>
      <c r="AZ56" s="34" t="n">
        <v>2.6</v>
      </c>
      <c r="BA56" s="34" t="n">
        <v>3</v>
      </c>
      <c r="BB56" s="34" t="n">
        <v>0.37</v>
      </c>
      <c r="BC56" s="34" t="s">
        <v>200</v>
      </c>
      <c r="BD56" s="34" t="s">
        <v>200</v>
      </c>
      <c r="BE56" s="34" t="n">
        <v>1</v>
      </c>
      <c r="BF56" s="34" t="n">
        <v>1</v>
      </c>
      <c r="BG56" s="34" t="n">
        <v>0</v>
      </c>
      <c r="BH56" s="34" t="n">
        <v>0</v>
      </c>
      <c r="BI56" s="34" t="n">
        <v>0</v>
      </c>
      <c r="BJ56" s="34"/>
      <c r="BK56" s="34" t="n">
        <v>5.1</v>
      </c>
      <c r="BL56" s="34" t="n">
        <v>1</v>
      </c>
      <c r="BM56" s="34" t="s">
        <v>200</v>
      </c>
      <c r="BN56" s="34" t="n">
        <v>1</v>
      </c>
      <c r="BO56" s="34" t="n">
        <v>1</v>
      </c>
      <c r="BP56" s="34" t="n">
        <v>2</v>
      </c>
      <c r="BQ56" s="34" t="s">
        <v>208</v>
      </c>
      <c r="BR56" s="34" t="s">
        <v>200</v>
      </c>
      <c r="BS56" s="34" t="n">
        <v>0.31</v>
      </c>
      <c r="BT56" s="34" t="n">
        <v>0</v>
      </c>
      <c r="BU56" s="34" t="n">
        <v>0.17</v>
      </c>
      <c r="BV56" s="34" t="n">
        <v>0.3</v>
      </c>
      <c r="BW56" s="34" t="n">
        <v>3</v>
      </c>
      <c r="BX56" s="34" t="n">
        <v>0</v>
      </c>
      <c r="BY56" s="34" t="n">
        <v>0</v>
      </c>
      <c r="BZ56" s="34" t="s">
        <v>200</v>
      </c>
      <c r="CA56" s="34" t="s">
        <v>230</v>
      </c>
      <c r="CB56" s="34" t="n">
        <v>7</v>
      </c>
      <c r="CC56" s="34" t="n">
        <v>2.9</v>
      </c>
      <c r="CD56" s="34" t="n">
        <v>0.29</v>
      </c>
      <c r="CE56" s="34" t="n">
        <v>0.93</v>
      </c>
      <c r="CF56" s="34" t="n">
        <v>0</v>
      </c>
      <c r="CG56" s="34" t="n">
        <v>1</v>
      </c>
      <c r="CH56" s="34" t="n">
        <v>28</v>
      </c>
      <c r="CI56" s="34" t="n">
        <v>10.6</v>
      </c>
      <c r="CJ56" s="34" t="n">
        <v>2432</v>
      </c>
      <c r="CK56" s="34" t="n">
        <v>2</v>
      </c>
      <c r="CL56" s="34" t="n">
        <v>0.51</v>
      </c>
      <c r="CM56" s="35" t="n">
        <v>1</v>
      </c>
    </row>
    <row r="57" customFormat="false" ht="15" hidden="false" customHeight="false" outlineLevel="0" collapsed="false">
      <c r="A57" s="3" t="s">
        <v>270</v>
      </c>
      <c r="B57" s="34" t="n">
        <v>46</v>
      </c>
      <c r="C57" s="34" t="s">
        <v>197</v>
      </c>
      <c r="D57" s="34" t="s">
        <v>215</v>
      </c>
      <c r="E57" s="34" t="n">
        <v>1082</v>
      </c>
      <c r="F57" s="34" t="s">
        <v>199</v>
      </c>
      <c r="G57" s="34" t="s">
        <v>200</v>
      </c>
      <c r="H57" s="34" t="n">
        <v>5</v>
      </c>
      <c r="I57" s="34" t="n">
        <v>5</v>
      </c>
      <c r="J57" s="34" t="n">
        <v>47.9</v>
      </c>
      <c r="K57" s="34" t="n">
        <v>82</v>
      </c>
      <c r="L57" s="34" t="n">
        <v>4</v>
      </c>
      <c r="M57" s="34" t="n">
        <v>0.04</v>
      </c>
      <c r="N57" s="34" t="n">
        <v>0.15</v>
      </c>
      <c r="O57" s="34" t="n">
        <v>0.13</v>
      </c>
      <c r="P57" s="34" t="n">
        <v>73</v>
      </c>
      <c r="Q57" s="34" t="n">
        <v>1</v>
      </c>
      <c r="R57" s="34" t="n">
        <v>1.4</v>
      </c>
      <c r="S57" s="34" t="n">
        <v>1</v>
      </c>
      <c r="T57" s="34" t="n">
        <v>10</v>
      </c>
      <c r="U57" s="34" t="n">
        <v>0.2</v>
      </c>
      <c r="V57" s="34" t="n">
        <v>1</v>
      </c>
      <c r="W57" s="34" t="n">
        <v>0</v>
      </c>
      <c r="X57" s="34" t="n">
        <v>609.8</v>
      </c>
      <c r="Y57" s="34" t="n">
        <v>-38</v>
      </c>
      <c r="Z57" s="34" t="n">
        <v>0</v>
      </c>
      <c r="AA57" s="34" t="n">
        <v>0.09</v>
      </c>
      <c r="AB57" s="34" t="n">
        <v>0</v>
      </c>
      <c r="AC57" s="34" t="n">
        <v>4</v>
      </c>
      <c r="AD57" s="34" t="n">
        <v>91</v>
      </c>
      <c r="AE57" s="34" t="n">
        <v>0</v>
      </c>
      <c r="AF57" s="34" t="n">
        <v>0.79</v>
      </c>
      <c r="AG57" s="34" t="n">
        <v>0</v>
      </c>
      <c r="AH57" s="34" t="n">
        <v>96</v>
      </c>
      <c r="AI57" s="34" t="n">
        <v>152</v>
      </c>
      <c r="AJ57" s="34" t="n">
        <v>1.58</v>
      </c>
      <c r="AK57" s="34" t="n">
        <v>11</v>
      </c>
      <c r="AL57" s="34" t="n">
        <v>0.1</v>
      </c>
      <c r="AM57" s="34" t="n">
        <v>-6</v>
      </c>
      <c r="AN57" s="34" t="n">
        <v>3.6</v>
      </c>
      <c r="AO57" s="34" t="n">
        <v>0.5</v>
      </c>
      <c r="AP57" s="34" t="n">
        <v>4</v>
      </c>
      <c r="AQ57" s="34" t="n">
        <v>1</v>
      </c>
      <c r="AR57" s="34" t="n">
        <v>0.026</v>
      </c>
      <c r="AS57" s="34" t="n">
        <v>-45</v>
      </c>
      <c r="AT57" s="34" t="n">
        <v>0</v>
      </c>
      <c r="AU57" s="34" t="n">
        <v>2</v>
      </c>
      <c r="AV57" s="34" t="n">
        <v>91</v>
      </c>
      <c r="AW57" s="34" t="n">
        <v>0.001</v>
      </c>
      <c r="AX57" s="34" t="n">
        <v>1</v>
      </c>
      <c r="AY57" s="34" t="n">
        <v>0.12</v>
      </c>
      <c r="AZ57" s="34" t="n">
        <v>1.2</v>
      </c>
      <c r="BA57" s="34" t="n">
        <v>2</v>
      </c>
      <c r="BB57" s="34" t="n">
        <v>0.18</v>
      </c>
      <c r="BC57" s="34" t="s">
        <v>200</v>
      </c>
      <c r="BD57" s="34" t="s">
        <v>200</v>
      </c>
      <c r="BE57" s="34" t="n">
        <v>0</v>
      </c>
      <c r="BF57" s="34" t="n">
        <v>0</v>
      </c>
      <c r="BG57" s="34" t="n">
        <v>0</v>
      </c>
      <c r="BH57" s="34" t="n">
        <v>0</v>
      </c>
      <c r="BI57" s="34" t="n">
        <v>0</v>
      </c>
      <c r="BJ57" s="34"/>
      <c r="BK57" s="34" t="n">
        <v>12.6</v>
      </c>
      <c r="BL57" s="34" t="n">
        <v>0</v>
      </c>
      <c r="BM57" s="34" t="s">
        <v>200</v>
      </c>
      <c r="BN57" s="34" t="n">
        <v>1</v>
      </c>
      <c r="BO57" s="34" t="n">
        <v>0</v>
      </c>
      <c r="BP57" s="34" t="n">
        <v>1</v>
      </c>
      <c r="BQ57" s="34" t="s">
        <v>208</v>
      </c>
      <c r="BR57" s="34" t="s">
        <v>200</v>
      </c>
      <c r="BS57" s="34" t="n">
        <v>0.38</v>
      </c>
      <c r="BT57" s="34" t="n">
        <v>0</v>
      </c>
      <c r="BU57" s="34" t="n">
        <v>0.02</v>
      </c>
      <c r="BV57" s="34" t="n">
        <v>0.24</v>
      </c>
      <c r="BW57" s="34" t="n">
        <v>0</v>
      </c>
      <c r="BX57" s="34" t="n">
        <v>0</v>
      </c>
      <c r="BY57" s="34" t="n">
        <v>0</v>
      </c>
      <c r="BZ57" s="34" t="s">
        <v>200</v>
      </c>
      <c r="CA57" s="34" t="s">
        <v>202</v>
      </c>
      <c r="CB57" s="34" t="n">
        <v>0</v>
      </c>
      <c r="CC57" s="34" t="n">
        <v>0</v>
      </c>
      <c r="CD57" s="34" t="n">
        <v>0.12</v>
      </c>
      <c r="CE57" s="34" t="n">
        <v>0.34</v>
      </c>
      <c r="CF57" s="34" t="n">
        <v>0</v>
      </c>
      <c r="CG57" s="34" t="n">
        <v>2</v>
      </c>
      <c r="CH57" s="34" t="n">
        <v>-8</v>
      </c>
      <c r="CI57" s="34" t="n">
        <v>-8.3</v>
      </c>
      <c r="CJ57" s="34" t="n">
        <v>96</v>
      </c>
      <c r="CK57" s="34" t="n">
        <v>6</v>
      </c>
      <c r="CL57" s="34" t="n">
        <v>0.05</v>
      </c>
      <c r="CM57" s="35" t="n">
        <v>0</v>
      </c>
    </row>
    <row r="58" customFormat="false" ht="15" hidden="false" customHeight="false" outlineLevel="0" collapsed="false">
      <c r="A58" s="3" t="s">
        <v>271</v>
      </c>
      <c r="B58" s="34" t="n">
        <v>36</v>
      </c>
      <c r="C58" s="34" t="s">
        <v>197</v>
      </c>
      <c r="D58" s="34" t="s">
        <v>215</v>
      </c>
      <c r="E58" s="34" t="n">
        <v>809</v>
      </c>
      <c r="F58" s="34" t="s">
        <v>199</v>
      </c>
      <c r="G58" s="34" t="s">
        <v>200</v>
      </c>
      <c r="H58" s="34" t="n">
        <v>10</v>
      </c>
      <c r="I58" s="34" t="n">
        <v>15</v>
      </c>
      <c r="J58" s="34" t="n">
        <v>47.3</v>
      </c>
      <c r="K58" s="34" t="n">
        <v>99</v>
      </c>
      <c r="L58" s="34" t="n">
        <v>11.8</v>
      </c>
      <c r="M58" s="34" t="n">
        <v>0.17</v>
      </c>
      <c r="N58" s="34" t="n">
        <v>0.18</v>
      </c>
      <c r="O58" s="34" t="n">
        <v>0.11</v>
      </c>
      <c r="P58" s="34" t="n">
        <v>80</v>
      </c>
      <c r="Q58" s="34" t="n">
        <v>2</v>
      </c>
      <c r="R58" s="34" t="n">
        <v>0.7</v>
      </c>
      <c r="S58" s="34" t="n">
        <v>15</v>
      </c>
      <c r="T58" s="34" t="n">
        <v>1061</v>
      </c>
      <c r="U58" s="34" t="n">
        <v>1</v>
      </c>
      <c r="V58" s="34" t="n">
        <v>1</v>
      </c>
      <c r="W58" s="34" t="n">
        <v>1</v>
      </c>
      <c r="X58" s="34" t="n">
        <v>48.6</v>
      </c>
      <c r="Y58" s="34" t="n">
        <v>0</v>
      </c>
      <c r="Z58" s="34" t="n">
        <v>0</v>
      </c>
      <c r="AA58" s="34" t="n">
        <v>0.22</v>
      </c>
      <c r="AB58" s="34" t="n">
        <v>0.49</v>
      </c>
      <c r="AC58" s="34" t="n">
        <v>4</v>
      </c>
      <c r="AD58" s="34" t="n">
        <v>130</v>
      </c>
      <c r="AE58" s="34" t="n">
        <v>0</v>
      </c>
      <c r="AF58" s="34" t="n">
        <v>0.46</v>
      </c>
      <c r="AG58" s="34" t="n">
        <v>1</v>
      </c>
      <c r="AH58" s="34" t="n">
        <v>769</v>
      </c>
      <c r="AI58" s="34" t="n">
        <v>1314</v>
      </c>
      <c r="AJ58" s="34" t="n">
        <v>1.71</v>
      </c>
      <c r="AK58" s="34" t="n">
        <v>10</v>
      </c>
      <c r="AL58" s="34" t="n">
        <v>0.68</v>
      </c>
      <c r="AM58" s="34" t="n">
        <v>5.5</v>
      </c>
      <c r="AN58" s="34" t="n">
        <v>4.7</v>
      </c>
      <c r="AO58" s="34" t="n">
        <v>1.11</v>
      </c>
      <c r="AP58" s="34" t="n">
        <v>580</v>
      </c>
      <c r="AQ58" s="34" t="n">
        <v>58</v>
      </c>
      <c r="AR58" s="34" t="n">
        <v>0.441</v>
      </c>
      <c r="AS58" s="34" t="n">
        <v>-26</v>
      </c>
      <c r="AT58" s="34" t="n">
        <v>0.21</v>
      </c>
      <c r="AU58" s="34" t="n">
        <v>145</v>
      </c>
      <c r="AV58" s="34" t="n">
        <v>6262</v>
      </c>
      <c r="AW58" s="34" t="n">
        <v>0.193</v>
      </c>
      <c r="AX58" s="34" t="n">
        <v>1</v>
      </c>
      <c r="AY58" s="34" t="n">
        <v>0.25</v>
      </c>
      <c r="AZ58" s="34" t="n">
        <v>2.4</v>
      </c>
      <c r="BA58" s="34" t="n">
        <v>1.2</v>
      </c>
      <c r="BB58" s="34" t="n">
        <v>0.52</v>
      </c>
      <c r="BC58" s="34" t="s">
        <v>200</v>
      </c>
      <c r="BD58" s="34" t="s">
        <v>200</v>
      </c>
      <c r="BE58" s="34" t="n">
        <v>0</v>
      </c>
      <c r="BF58" s="34" t="n">
        <v>0</v>
      </c>
      <c r="BG58" s="34" t="n">
        <v>0</v>
      </c>
      <c r="BH58" s="34" t="n">
        <v>0</v>
      </c>
      <c r="BI58" s="34" t="n">
        <v>0</v>
      </c>
      <c r="BJ58" s="34"/>
      <c r="BK58" s="34" t="n">
        <v>5.9</v>
      </c>
      <c r="BL58" s="34" t="n">
        <v>0</v>
      </c>
      <c r="BM58" s="34" t="s">
        <v>200</v>
      </c>
      <c r="BN58" s="34" t="n">
        <v>2</v>
      </c>
      <c r="BO58" s="34" t="n">
        <v>0</v>
      </c>
      <c r="BP58" s="34" t="n">
        <v>1</v>
      </c>
      <c r="BQ58" s="34" t="s">
        <v>208</v>
      </c>
      <c r="BR58" s="34" t="s">
        <v>200</v>
      </c>
      <c r="BS58" s="34" t="n">
        <v>0.41</v>
      </c>
      <c r="BT58" s="34" t="n">
        <v>0</v>
      </c>
      <c r="BU58" s="34" t="n">
        <v>0.25</v>
      </c>
      <c r="BV58" s="34" t="n">
        <v>0.21</v>
      </c>
      <c r="BW58" s="34" t="n">
        <v>2</v>
      </c>
      <c r="BX58" s="34" t="n">
        <v>1</v>
      </c>
      <c r="BY58" s="34" t="n">
        <v>0</v>
      </c>
      <c r="BZ58" s="34" t="s">
        <v>200</v>
      </c>
      <c r="CA58" s="34" t="s">
        <v>202</v>
      </c>
      <c r="CB58" s="34"/>
      <c r="CC58" s="34" t="n">
        <v>1.4</v>
      </c>
      <c r="CD58" s="34" t="n">
        <v>0.06</v>
      </c>
      <c r="CE58" s="34" t="n">
        <v>0.67</v>
      </c>
      <c r="CF58" s="34" t="n">
        <v>0</v>
      </c>
      <c r="CG58" s="34" t="n">
        <v>1</v>
      </c>
      <c r="CH58" s="34" t="n">
        <v>14</v>
      </c>
      <c r="CI58" s="34" t="n">
        <v>3.3</v>
      </c>
      <c r="CJ58" s="34" t="n">
        <v>1266</v>
      </c>
      <c r="CK58" s="34" t="n">
        <v>6</v>
      </c>
      <c r="CL58" s="34" t="n">
        <v>0.43</v>
      </c>
      <c r="CM58" s="35" t="n">
        <v>0</v>
      </c>
    </row>
    <row r="59" customFormat="false" ht="15" hidden="false" customHeight="false" outlineLevel="0" collapsed="false">
      <c r="A59" s="3" t="s">
        <v>272</v>
      </c>
      <c r="B59" s="34" t="n">
        <v>39</v>
      </c>
      <c r="C59" s="34" t="s">
        <v>197</v>
      </c>
      <c r="D59" s="34" t="s">
        <v>217</v>
      </c>
      <c r="E59" s="34" t="n">
        <v>787</v>
      </c>
      <c r="F59" s="34" t="s">
        <v>199</v>
      </c>
      <c r="G59" s="34" t="s">
        <v>200</v>
      </c>
      <c r="H59" s="34" t="n">
        <v>17</v>
      </c>
      <c r="I59" s="34" t="n">
        <v>22</v>
      </c>
      <c r="J59" s="34" t="n">
        <v>28</v>
      </c>
      <c r="K59" s="34" t="n">
        <v>68</v>
      </c>
      <c r="L59" s="34" t="n">
        <v>10.3</v>
      </c>
      <c r="M59" s="34" t="n">
        <v>0.23</v>
      </c>
      <c r="N59" s="34" t="n">
        <v>0.16</v>
      </c>
      <c r="O59" s="34" t="n">
        <v>0.03</v>
      </c>
      <c r="P59" s="34" t="n">
        <v>57</v>
      </c>
      <c r="Q59" s="34" t="n">
        <v>6</v>
      </c>
      <c r="R59" s="34" t="n">
        <v>0.8</v>
      </c>
      <c r="S59" s="34" t="n">
        <v>18</v>
      </c>
      <c r="T59" s="34" t="n">
        <v>971</v>
      </c>
      <c r="U59" s="34" t="n">
        <v>0.82</v>
      </c>
      <c r="V59" s="34" t="n">
        <v>2</v>
      </c>
      <c r="W59" s="34" t="n">
        <v>4</v>
      </c>
      <c r="X59" s="34" t="n">
        <v>35</v>
      </c>
      <c r="Y59" s="34" t="n">
        <v>32</v>
      </c>
      <c r="Z59" s="34" t="n">
        <v>1</v>
      </c>
      <c r="AA59" s="34" t="n">
        <v>0.25</v>
      </c>
      <c r="AB59" s="34" t="n">
        <v>0.48</v>
      </c>
      <c r="AC59" s="34" t="n">
        <v>4</v>
      </c>
      <c r="AD59" s="34" t="n">
        <v>4</v>
      </c>
      <c r="AE59" s="34" t="n">
        <v>1</v>
      </c>
      <c r="AF59" s="34" t="n">
        <v>0.3</v>
      </c>
      <c r="AG59" s="34" t="n">
        <v>0</v>
      </c>
      <c r="AH59" s="34" t="n">
        <v>1438</v>
      </c>
      <c r="AI59" s="34" t="n">
        <v>1762</v>
      </c>
      <c r="AJ59" s="34" t="n">
        <v>1.23</v>
      </c>
      <c r="AK59" s="34" t="n">
        <v>10</v>
      </c>
      <c r="AL59" s="34" t="n">
        <v>0.75</v>
      </c>
      <c r="AM59" s="34" t="n">
        <v>6</v>
      </c>
      <c r="AN59" s="34" t="n">
        <v>3.7</v>
      </c>
      <c r="AO59" s="34" t="n">
        <v>1.04</v>
      </c>
      <c r="AP59" s="34" t="n">
        <v>772</v>
      </c>
      <c r="AQ59" s="34" t="n">
        <v>45</v>
      </c>
      <c r="AR59" s="34" t="n">
        <v>0.438</v>
      </c>
      <c r="AS59" s="34" t="n">
        <v>33</v>
      </c>
      <c r="AT59" s="34" t="n">
        <v>0.27</v>
      </c>
      <c r="AU59" s="34" t="n">
        <v>280</v>
      </c>
      <c r="AV59" s="34" t="n">
        <v>11787</v>
      </c>
      <c r="AW59" s="34" t="n">
        <v>0.257</v>
      </c>
      <c r="AX59" s="34" t="n">
        <v>2</v>
      </c>
      <c r="AY59" s="34" t="n">
        <v>0.58</v>
      </c>
      <c r="AZ59" s="34" t="n">
        <v>2.9</v>
      </c>
      <c r="BA59" s="34" t="n">
        <v>3.2</v>
      </c>
      <c r="BB59" s="34" t="n">
        <v>0</v>
      </c>
      <c r="BC59" s="34" t="s">
        <v>200</v>
      </c>
      <c r="BD59" s="34" t="s">
        <v>207</v>
      </c>
      <c r="BE59" s="34" t="n">
        <v>0</v>
      </c>
      <c r="BF59" s="34" t="n">
        <v>0</v>
      </c>
      <c r="BG59" s="34" t="n">
        <v>1</v>
      </c>
      <c r="BH59" s="34" t="n">
        <v>1</v>
      </c>
      <c r="BI59" s="34" t="n">
        <v>0</v>
      </c>
      <c r="BJ59" s="34"/>
      <c r="BK59" s="34" t="n">
        <v>4.7</v>
      </c>
      <c r="BL59" s="34" t="n">
        <v>0</v>
      </c>
      <c r="BM59" s="34" t="s">
        <v>200</v>
      </c>
      <c r="BN59" s="34" t="n">
        <v>2</v>
      </c>
      <c r="BO59" s="34" t="n">
        <v>0</v>
      </c>
      <c r="BP59" s="34" t="n">
        <v>2</v>
      </c>
      <c r="BQ59" s="34" t="s">
        <v>212</v>
      </c>
      <c r="BR59" s="34" t="s">
        <v>200</v>
      </c>
      <c r="BS59" s="34" t="n">
        <v>0.62</v>
      </c>
      <c r="BT59" s="34" t="n">
        <v>1</v>
      </c>
      <c r="BU59" s="34" t="n">
        <v>0.07</v>
      </c>
      <c r="BV59" s="34" t="n">
        <v>0.01</v>
      </c>
      <c r="BW59" s="34" t="n">
        <v>2</v>
      </c>
      <c r="BX59" s="34" t="n">
        <v>0</v>
      </c>
      <c r="BY59" s="34" t="n">
        <v>0</v>
      </c>
      <c r="BZ59" s="34" t="s">
        <v>200</v>
      </c>
      <c r="CA59" s="34" t="s">
        <v>202</v>
      </c>
      <c r="CB59" s="34" t="n">
        <v>6</v>
      </c>
      <c r="CC59" s="34" t="n">
        <v>1.8</v>
      </c>
      <c r="CD59" s="34" t="n">
        <v>0.35</v>
      </c>
      <c r="CE59" s="34" t="n">
        <v>0.81</v>
      </c>
      <c r="CF59" s="34" t="n">
        <v>0</v>
      </c>
      <c r="CG59" s="34" t="n">
        <v>1</v>
      </c>
      <c r="CH59" s="34" t="n">
        <v>16</v>
      </c>
      <c r="CI59" s="34" t="n">
        <v>9.7</v>
      </c>
      <c r="CJ59" s="34" t="n">
        <v>1657</v>
      </c>
      <c r="CK59" s="34" t="n">
        <v>6</v>
      </c>
      <c r="CL59" s="34" t="n">
        <v>0.5</v>
      </c>
      <c r="CM59" s="35" t="n">
        <v>1</v>
      </c>
    </row>
    <row r="60" customFormat="false" ht="15" hidden="false" customHeight="false" outlineLevel="0" collapsed="false">
      <c r="A60" s="3" t="s">
        <v>273</v>
      </c>
      <c r="B60" s="34" t="n">
        <v>39</v>
      </c>
      <c r="C60" s="34" t="s">
        <v>210</v>
      </c>
      <c r="D60" s="34" t="s">
        <v>206</v>
      </c>
      <c r="E60" s="34" t="n">
        <v>1399</v>
      </c>
      <c r="F60" s="34" t="s">
        <v>199</v>
      </c>
      <c r="G60" s="34" t="s">
        <v>200</v>
      </c>
      <c r="H60" s="34" t="n">
        <v>6</v>
      </c>
      <c r="I60" s="34" t="n">
        <v>8</v>
      </c>
      <c r="J60" s="34" t="n">
        <v>33</v>
      </c>
      <c r="K60" s="34" t="n">
        <v>54</v>
      </c>
      <c r="L60" s="34" t="n">
        <v>4.4</v>
      </c>
      <c r="M60" s="34" t="n">
        <v>0.07</v>
      </c>
      <c r="N60" s="34" t="n">
        <v>0.46</v>
      </c>
      <c r="O60" s="34" t="n">
        <v>0.31</v>
      </c>
      <c r="P60" s="34" t="n">
        <v>39</v>
      </c>
      <c r="Q60" s="34" t="n">
        <v>3</v>
      </c>
      <c r="R60" s="34" t="n">
        <v>1.2</v>
      </c>
      <c r="S60" s="34" t="n">
        <v>4</v>
      </c>
      <c r="T60" s="34" t="n">
        <v>230</v>
      </c>
      <c r="U60" s="34" t="n">
        <v>0.5</v>
      </c>
      <c r="V60" s="34" t="n">
        <v>1</v>
      </c>
      <c r="W60" s="34" t="n">
        <v>1</v>
      </c>
      <c r="X60" s="34" t="n">
        <v>183.3</v>
      </c>
      <c r="Y60" s="34" t="n">
        <v>-9</v>
      </c>
      <c r="Z60" s="34" t="n">
        <v>0</v>
      </c>
      <c r="AA60" s="34" t="n">
        <v>0.11</v>
      </c>
      <c r="AB60" s="34" t="n">
        <v>0.2</v>
      </c>
      <c r="AC60" s="34" t="n">
        <v>3</v>
      </c>
      <c r="AD60" s="34" t="n">
        <v>71</v>
      </c>
      <c r="AE60" s="34" t="n">
        <v>1</v>
      </c>
      <c r="AF60" s="34" t="n">
        <v>0.56</v>
      </c>
      <c r="AG60" s="34" t="n">
        <v>0</v>
      </c>
      <c r="AH60" s="34" t="n">
        <v>205</v>
      </c>
      <c r="AI60" s="34" t="n">
        <v>270</v>
      </c>
      <c r="AJ60" s="34" t="n">
        <v>1.32</v>
      </c>
      <c r="AK60" s="34" t="n">
        <v>8</v>
      </c>
      <c r="AL60" s="34" t="n">
        <v>0.69</v>
      </c>
      <c r="AM60" s="34" t="n">
        <v>-1</v>
      </c>
      <c r="AN60" s="34" t="n">
        <v>3.7</v>
      </c>
      <c r="AO60" s="34" t="n">
        <v>1.01</v>
      </c>
      <c r="AP60" s="34" t="n">
        <v>107</v>
      </c>
      <c r="AQ60" s="34" t="n">
        <v>18</v>
      </c>
      <c r="AR60" s="34" t="n">
        <v>0.396</v>
      </c>
      <c r="AS60" s="34" t="n">
        <v>26</v>
      </c>
      <c r="AT60" s="34" t="n">
        <v>0.19</v>
      </c>
      <c r="AU60" s="34" t="n">
        <v>33</v>
      </c>
      <c r="AV60" s="34" t="n">
        <v>1343</v>
      </c>
      <c r="AW60" s="34" t="n">
        <v>0.036</v>
      </c>
      <c r="AX60" s="34" t="n">
        <v>1</v>
      </c>
      <c r="AY60" s="34" t="n">
        <v>0.38</v>
      </c>
      <c r="AZ60" s="34" t="n">
        <v>2.4</v>
      </c>
      <c r="BA60" s="34" t="n">
        <v>1.5</v>
      </c>
      <c r="BB60" s="34" t="n">
        <v>0.15</v>
      </c>
      <c r="BC60" s="34" t="s">
        <v>200</v>
      </c>
      <c r="BD60" s="34" t="s">
        <v>200</v>
      </c>
      <c r="BE60" s="34" t="n">
        <v>0</v>
      </c>
      <c r="BF60" s="34" t="n">
        <v>0</v>
      </c>
      <c r="BG60" s="34" t="n">
        <v>0</v>
      </c>
      <c r="BH60" s="34" t="n">
        <v>0</v>
      </c>
      <c r="BI60" s="34" t="n">
        <v>0</v>
      </c>
      <c r="BJ60" s="34"/>
      <c r="BK60" s="34" t="n">
        <v>5.6</v>
      </c>
      <c r="BL60" s="34" t="n">
        <v>1</v>
      </c>
      <c r="BM60" s="34" t="s">
        <v>200</v>
      </c>
      <c r="BN60" s="34" t="n">
        <v>1</v>
      </c>
      <c r="BO60" s="34" t="n">
        <v>0</v>
      </c>
      <c r="BP60" s="34" t="n">
        <v>2</v>
      </c>
      <c r="BQ60" s="34" t="s">
        <v>208</v>
      </c>
      <c r="BR60" s="34" t="s">
        <v>207</v>
      </c>
      <c r="BS60" s="34" t="n">
        <v>0.44</v>
      </c>
      <c r="BT60" s="34" t="n">
        <v>0</v>
      </c>
      <c r="BU60" s="34" t="n">
        <v>0</v>
      </c>
      <c r="BV60" s="34" t="n">
        <v>0.39</v>
      </c>
      <c r="BW60" s="34" t="n">
        <v>2</v>
      </c>
      <c r="BX60" s="34" t="n">
        <v>0</v>
      </c>
      <c r="BY60" s="34" t="n">
        <v>0</v>
      </c>
      <c r="BZ60" s="34" t="s">
        <v>200</v>
      </c>
      <c r="CA60" s="34" t="s">
        <v>202</v>
      </c>
      <c r="CB60" s="34" t="n">
        <v>3</v>
      </c>
      <c r="CC60" s="34" t="n">
        <v>1.1</v>
      </c>
      <c r="CD60" s="34" t="n">
        <v>0.05</v>
      </c>
      <c r="CE60" s="34" t="n">
        <v>0.78</v>
      </c>
      <c r="CF60" s="34" t="n">
        <v>0</v>
      </c>
      <c r="CG60" s="34" t="n">
        <v>1</v>
      </c>
      <c r="CH60" s="34" t="n">
        <v>38</v>
      </c>
      <c r="CI60" s="34" t="n">
        <v>8.9</v>
      </c>
      <c r="CJ60" s="34" t="n">
        <v>331</v>
      </c>
      <c r="CK60" s="34" t="n">
        <v>6</v>
      </c>
      <c r="CL60" s="34" t="n">
        <v>0.14</v>
      </c>
      <c r="CM60" s="35" t="n">
        <v>0</v>
      </c>
    </row>
    <row r="61" customFormat="false" ht="15" hidden="false" customHeight="false" outlineLevel="0" collapsed="false">
      <c r="A61" s="3" t="s">
        <v>274</v>
      </c>
      <c r="B61" s="34" t="n">
        <v>35</v>
      </c>
      <c r="C61" s="34" t="s">
        <v>197</v>
      </c>
      <c r="D61" s="34" t="s">
        <v>215</v>
      </c>
      <c r="E61" s="34" t="n">
        <v>1097</v>
      </c>
      <c r="F61" s="34" t="s">
        <v>223</v>
      </c>
      <c r="G61" s="34" t="s">
        <v>200</v>
      </c>
      <c r="H61" s="34" t="n">
        <v>5</v>
      </c>
      <c r="I61" s="34" t="n">
        <v>11</v>
      </c>
      <c r="J61" s="34" t="n">
        <v>29.7</v>
      </c>
      <c r="K61" s="34" t="n">
        <v>64</v>
      </c>
      <c r="L61" s="34" t="n">
        <v>5.4</v>
      </c>
      <c r="M61" s="34" t="n">
        <v>0.24</v>
      </c>
      <c r="N61" s="34" t="n">
        <v>0.22</v>
      </c>
      <c r="O61" s="34" t="n">
        <v>0.23</v>
      </c>
      <c r="P61" s="34" t="n">
        <v>50</v>
      </c>
      <c r="Q61" s="34" t="n">
        <v>3</v>
      </c>
      <c r="R61" s="34" t="n">
        <v>1.8</v>
      </c>
      <c r="S61" s="34" t="n">
        <v>11</v>
      </c>
      <c r="T61" s="34" t="n">
        <v>863</v>
      </c>
      <c r="U61" s="34" t="n">
        <v>1</v>
      </c>
      <c r="V61" s="34" t="n">
        <v>4</v>
      </c>
      <c r="W61" s="34" t="n">
        <v>4</v>
      </c>
      <c r="X61" s="34" t="n">
        <v>83.8</v>
      </c>
      <c r="Y61" s="34" t="n">
        <v>15</v>
      </c>
      <c r="Z61" s="34" t="n">
        <v>1</v>
      </c>
      <c r="AA61" s="34" t="n">
        <v>0.25</v>
      </c>
      <c r="AB61" s="34" t="n">
        <v>0.62</v>
      </c>
      <c r="AC61" s="34" t="n">
        <v>3</v>
      </c>
      <c r="AD61" s="34" t="n">
        <v>42</v>
      </c>
      <c r="AE61" s="34" t="n">
        <v>0</v>
      </c>
      <c r="AF61" s="34" t="n">
        <v>0.44</v>
      </c>
      <c r="AG61" s="34" t="n">
        <v>1</v>
      </c>
      <c r="AH61" s="34" t="n">
        <v>671</v>
      </c>
      <c r="AI61" s="34" t="n">
        <v>1005</v>
      </c>
      <c r="AJ61" s="34" t="n">
        <v>1.5</v>
      </c>
      <c r="AK61" s="34" t="n">
        <v>15</v>
      </c>
      <c r="AL61" s="34" t="n">
        <v>0.82</v>
      </c>
      <c r="AM61" s="34" t="n">
        <v>21.8</v>
      </c>
      <c r="AN61" s="34" t="n">
        <v>6</v>
      </c>
      <c r="AO61" s="34" t="n">
        <v>1.23</v>
      </c>
      <c r="AP61" s="34" t="n">
        <v>595</v>
      </c>
      <c r="AQ61" s="34" t="n">
        <v>119</v>
      </c>
      <c r="AR61" s="34" t="n">
        <v>0.592</v>
      </c>
      <c r="AS61" s="34" t="n">
        <v>57</v>
      </c>
      <c r="AT61" s="34" t="n">
        <v>0.51</v>
      </c>
      <c r="AU61" s="34" t="n">
        <v>309</v>
      </c>
      <c r="AV61" s="34" t="n">
        <v>11146</v>
      </c>
      <c r="AW61" s="34" t="n">
        <v>0.397</v>
      </c>
      <c r="AX61" s="34" t="n">
        <v>2</v>
      </c>
      <c r="AY61" s="34" t="n">
        <v>0.71</v>
      </c>
      <c r="AZ61" s="34" t="n">
        <v>3.6</v>
      </c>
      <c r="BA61" s="34" t="n">
        <v>5</v>
      </c>
      <c r="BB61" s="34" t="n">
        <v>0.42</v>
      </c>
      <c r="BC61" s="34" t="s">
        <v>200</v>
      </c>
      <c r="BD61" s="34" t="s">
        <v>207</v>
      </c>
      <c r="BE61" s="34" t="n">
        <v>0</v>
      </c>
      <c r="BF61" s="34" t="n">
        <v>0</v>
      </c>
      <c r="BG61" s="34" t="n">
        <v>0</v>
      </c>
      <c r="BH61" s="34" t="n">
        <v>0</v>
      </c>
      <c r="BI61" s="34" t="n">
        <v>1</v>
      </c>
      <c r="BJ61" s="34" t="s">
        <v>275</v>
      </c>
      <c r="BK61" s="34" t="n">
        <v>4.9</v>
      </c>
      <c r="BL61" s="34" t="n">
        <v>1</v>
      </c>
      <c r="BM61" s="34" t="s">
        <v>200</v>
      </c>
      <c r="BN61" s="34" t="n">
        <v>3</v>
      </c>
      <c r="BO61" s="34" t="n">
        <v>0</v>
      </c>
      <c r="BP61" s="34" t="n">
        <v>2</v>
      </c>
      <c r="BQ61" s="34" t="s">
        <v>201</v>
      </c>
      <c r="BR61" s="34" t="s">
        <v>200</v>
      </c>
      <c r="BS61" s="34" t="n">
        <v>0.49</v>
      </c>
      <c r="BT61" s="34" t="n">
        <v>1</v>
      </c>
      <c r="BU61" s="34" t="n">
        <v>0.24</v>
      </c>
      <c r="BV61" s="34" t="n">
        <v>0.19</v>
      </c>
      <c r="BW61" s="34" t="n">
        <v>3</v>
      </c>
      <c r="BX61" s="34" t="n">
        <v>0</v>
      </c>
      <c r="BY61" s="34" t="n">
        <v>0</v>
      </c>
      <c r="BZ61" s="34" t="s">
        <v>200</v>
      </c>
      <c r="CA61" s="34" t="s">
        <v>204</v>
      </c>
      <c r="CB61" s="34" t="n">
        <v>8</v>
      </c>
      <c r="CC61" s="34" t="n">
        <v>1.2</v>
      </c>
      <c r="CD61" s="34" t="n">
        <v>0.13</v>
      </c>
      <c r="CE61" s="34" t="n">
        <v>0.33</v>
      </c>
      <c r="CF61" s="34" t="n">
        <v>0</v>
      </c>
      <c r="CG61" s="34" t="n">
        <v>1</v>
      </c>
      <c r="CH61" s="34" t="n">
        <v>25</v>
      </c>
      <c r="CI61" s="34" t="n">
        <v>-0.9</v>
      </c>
      <c r="CJ61" s="34" t="n">
        <v>1025</v>
      </c>
      <c r="CK61" s="34" t="n">
        <v>6</v>
      </c>
      <c r="CL61" s="34" t="n">
        <v>0.62</v>
      </c>
      <c r="CM61" s="35" t="n">
        <v>1</v>
      </c>
    </row>
    <row r="62" customFormat="false" ht="15" hidden="false" customHeight="false" outlineLevel="0" collapsed="false">
      <c r="A62" s="3" t="s">
        <v>276</v>
      </c>
      <c r="B62" s="34" t="n">
        <v>29</v>
      </c>
      <c r="C62" s="34" t="s">
        <v>197</v>
      </c>
      <c r="D62" s="34" t="s">
        <v>243</v>
      </c>
      <c r="E62" s="34" t="n">
        <v>1438</v>
      </c>
      <c r="F62" s="34" t="s">
        <v>199</v>
      </c>
      <c r="G62" s="34" t="s">
        <v>200</v>
      </c>
      <c r="H62" s="34" t="n">
        <v>5</v>
      </c>
      <c r="I62" s="34" t="n">
        <v>5</v>
      </c>
      <c r="J62" s="34" t="n">
        <v>36.3</v>
      </c>
      <c r="K62" s="34" t="n">
        <v>84</v>
      </c>
      <c r="L62" s="34" t="n">
        <v>3</v>
      </c>
      <c r="M62" s="34" t="n">
        <v>0.2</v>
      </c>
      <c r="N62" s="34" t="n">
        <v>0.42</v>
      </c>
      <c r="O62" s="34" t="n">
        <v>0.26</v>
      </c>
      <c r="P62" s="34" t="n">
        <v>59</v>
      </c>
      <c r="Q62" s="34" t="n">
        <v>3</v>
      </c>
      <c r="R62" s="34" t="n">
        <v>1</v>
      </c>
      <c r="S62" s="34" t="n">
        <v>5</v>
      </c>
      <c r="T62" s="34" t="n">
        <v>143</v>
      </c>
      <c r="U62" s="34" t="n">
        <v>1</v>
      </c>
      <c r="V62" s="34" t="n">
        <v>1</v>
      </c>
      <c r="W62" s="34" t="n">
        <v>0</v>
      </c>
      <c r="X62" s="34" t="n">
        <v>124.3</v>
      </c>
      <c r="Y62" s="34" t="n">
        <v>31</v>
      </c>
      <c r="Z62" s="34" t="n">
        <v>0</v>
      </c>
      <c r="AA62" s="34" t="n">
        <v>0.26</v>
      </c>
      <c r="AB62" s="34" t="n">
        <v>0.31</v>
      </c>
      <c r="AC62" s="34" t="n">
        <v>1</v>
      </c>
      <c r="AD62" s="34" t="n">
        <v>0</v>
      </c>
      <c r="AE62" s="34" t="n">
        <v>0</v>
      </c>
      <c r="AF62" s="34" t="n">
        <v>0.57</v>
      </c>
      <c r="AG62" s="34" t="n">
        <v>1</v>
      </c>
      <c r="AH62" s="34" t="n">
        <v>390</v>
      </c>
      <c r="AI62" s="34" t="n">
        <v>910</v>
      </c>
      <c r="AJ62" s="34" t="n">
        <v>2.33</v>
      </c>
      <c r="AK62" s="34" t="n">
        <v>5</v>
      </c>
      <c r="AL62" s="34" t="n">
        <v>0.49</v>
      </c>
      <c r="AM62" s="34" t="n">
        <v>2</v>
      </c>
      <c r="AN62" s="34" t="n">
        <v>4.4</v>
      </c>
      <c r="AO62" s="34" t="n">
        <v>1.16</v>
      </c>
      <c r="AP62" s="34" t="n">
        <v>79</v>
      </c>
      <c r="AQ62" s="34" t="n">
        <v>16</v>
      </c>
      <c r="AR62" s="34" t="n">
        <v>0.087</v>
      </c>
      <c r="AS62" s="34" t="n">
        <v>5</v>
      </c>
      <c r="AT62" s="34" t="n">
        <v>0.21</v>
      </c>
      <c r="AU62" s="34" t="n">
        <v>16</v>
      </c>
      <c r="AV62" s="34" t="n">
        <v>587</v>
      </c>
      <c r="AW62" s="34" t="n">
        <v>0.026</v>
      </c>
      <c r="AX62" s="34" t="n">
        <v>1</v>
      </c>
      <c r="AY62" s="34" t="n">
        <v>0.7</v>
      </c>
      <c r="AZ62" s="34" t="n">
        <v>1.3</v>
      </c>
      <c r="BA62" s="34" t="n">
        <v>2.3</v>
      </c>
      <c r="BB62" s="34" t="n">
        <v>0</v>
      </c>
      <c r="BC62" s="34" t="s">
        <v>200</v>
      </c>
      <c r="BD62" s="34" t="s">
        <v>207</v>
      </c>
      <c r="BE62" s="34" t="n">
        <v>0</v>
      </c>
      <c r="BF62" s="34" t="n">
        <v>0</v>
      </c>
      <c r="BG62" s="34" t="n">
        <v>0</v>
      </c>
      <c r="BH62" s="34" t="n">
        <v>0</v>
      </c>
      <c r="BI62" s="34" t="n">
        <v>0</v>
      </c>
      <c r="BJ62" s="34"/>
      <c r="BK62" s="34" t="n">
        <v>6.6</v>
      </c>
      <c r="BL62" s="34" t="n">
        <v>0</v>
      </c>
      <c r="BM62" s="34" t="s">
        <v>200</v>
      </c>
      <c r="BN62" s="34" t="n">
        <v>2</v>
      </c>
      <c r="BO62" s="34" t="n">
        <v>0</v>
      </c>
      <c r="BP62" s="34" t="n">
        <v>1</v>
      </c>
      <c r="BQ62" s="34" t="s">
        <v>212</v>
      </c>
      <c r="BR62" s="34" t="s">
        <v>200</v>
      </c>
      <c r="BS62" s="34" t="n">
        <v>0.3</v>
      </c>
      <c r="BT62" s="34" t="n">
        <v>0</v>
      </c>
      <c r="BU62" s="34" t="n">
        <v>0.22</v>
      </c>
      <c r="BV62" s="34" t="n">
        <v>0.23</v>
      </c>
      <c r="BW62" s="34" t="n">
        <v>0</v>
      </c>
      <c r="BX62" s="34" t="n">
        <v>0</v>
      </c>
      <c r="BY62" s="34" t="n">
        <v>0</v>
      </c>
      <c r="BZ62" s="34" t="s">
        <v>200</v>
      </c>
      <c r="CA62" s="34" t="s">
        <v>202</v>
      </c>
      <c r="CB62" s="34"/>
      <c r="CC62" s="34" t="n">
        <v>2</v>
      </c>
      <c r="CD62" s="34" t="n">
        <v>0.12</v>
      </c>
      <c r="CE62" s="34" t="n">
        <v>0.74</v>
      </c>
      <c r="CF62" s="34" t="n">
        <v>0</v>
      </c>
      <c r="CG62" s="34" t="n">
        <v>1</v>
      </c>
      <c r="CH62" s="34" t="n">
        <v>-24</v>
      </c>
      <c r="CI62" s="34" t="n">
        <v>-4.7</v>
      </c>
      <c r="CJ62" s="34" t="n">
        <v>971</v>
      </c>
      <c r="CK62" s="34" t="n">
        <v>6</v>
      </c>
      <c r="CL62" s="34" t="n">
        <v>0.47</v>
      </c>
      <c r="CM62" s="35" t="n">
        <v>0</v>
      </c>
    </row>
    <row r="63" customFormat="false" ht="15" hidden="false" customHeight="false" outlineLevel="0" collapsed="false">
      <c r="A63" s="3" t="s">
        <v>277</v>
      </c>
      <c r="B63" s="34" t="n">
        <v>30</v>
      </c>
      <c r="C63" s="34" t="s">
        <v>197</v>
      </c>
      <c r="D63" s="34" t="s">
        <v>215</v>
      </c>
      <c r="E63" s="34" t="n">
        <v>131</v>
      </c>
      <c r="F63" s="34" t="s">
        <v>211</v>
      </c>
      <c r="G63" s="34" t="s">
        <v>200</v>
      </c>
      <c r="H63" s="34" t="n">
        <v>7</v>
      </c>
      <c r="I63" s="34" t="n">
        <v>12</v>
      </c>
      <c r="J63" s="34" t="n">
        <v>20.9</v>
      </c>
      <c r="K63" s="34" t="n">
        <v>53</v>
      </c>
      <c r="L63" s="34" t="n">
        <v>4.2</v>
      </c>
      <c r="M63" s="34" t="n">
        <v>0.25</v>
      </c>
      <c r="N63" s="34" t="n">
        <v>0.36</v>
      </c>
      <c r="O63" s="34" t="n">
        <v>0.13</v>
      </c>
      <c r="P63" s="34" t="n">
        <v>44</v>
      </c>
      <c r="Q63" s="34" t="n">
        <v>4</v>
      </c>
      <c r="R63" s="34" t="n">
        <v>0.4</v>
      </c>
      <c r="S63" s="34" t="n">
        <v>19</v>
      </c>
      <c r="T63" s="34" t="n">
        <v>1259</v>
      </c>
      <c r="U63" s="34" t="n">
        <v>1.58</v>
      </c>
      <c r="V63" s="34" t="n">
        <v>1</v>
      </c>
      <c r="W63" s="34" t="n">
        <v>2</v>
      </c>
      <c r="X63" s="34" t="n">
        <v>35.3</v>
      </c>
      <c r="Y63" s="34" t="n">
        <v>35</v>
      </c>
      <c r="Z63" s="34" t="n">
        <v>0</v>
      </c>
      <c r="AA63" s="34" t="n">
        <v>0.25</v>
      </c>
      <c r="AB63" s="34" t="n">
        <v>0.22</v>
      </c>
      <c r="AC63" s="34" t="n">
        <v>6</v>
      </c>
      <c r="AD63" s="34" t="n">
        <v>25</v>
      </c>
      <c r="AE63" s="34" t="n">
        <v>1</v>
      </c>
      <c r="AF63" s="34" t="n">
        <v>0.25</v>
      </c>
      <c r="AG63" s="34" t="n">
        <v>1</v>
      </c>
      <c r="AH63" s="34" t="n">
        <v>624</v>
      </c>
      <c r="AI63" s="34" t="n">
        <v>1304</v>
      </c>
      <c r="AJ63" s="34" t="n">
        <v>2.09</v>
      </c>
      <c r="AK63" s="34" t="n">
        <v>18</v>
      </c>
      <c r="AL63" s="34" t="n">
        <v>0.82</v>
      </c>
      <c r="AM63" s="34" t="n">
        <v>3.3</v>
      </c>
      <c r="AN63" s="34" t="n">
        <v>5.4</v>
      </c>
      <c r="AO63" s="34" t="n">
        <v>1.32</v>
      </c>
      <c r="AP63" s="34" t="n">
        <v>983</v>
      </c>
      <c r="AQ63" s="34" t="n">
        <v>140</v>
      </c>
      <c r="AR63" s="34" t="n">
        <v>0.754</v>
      </c>
      <c r="AS63" s="34" t="n">
        <v>48</v>
      </c>
      <c r="AT63" s="34" t="n">
        <v>0.29</v>
      </c>
      <c r="AU63" s="34" t="n">
        <v>308</v>
      </c>
      <c r="AV63" s="34" t="n">
        <v>1704</v>
      </c>
      <c r="AW63" s="34" t="n">
        <v>0.164</v>
      </c>
      <c r="AX63" s="34" t="n">
        <v>3</v>
      </c>
      <c r="AY63" s="34" t="n">
        <v>0.12</v>
      </c>
      <c r="AZ63" s="34" t="n">
        <v>2.4</v>
      </c>
      <c r="BA63" s="34" t="n">
        <v>2.5</v>
      </c>
      <c r="BB63" s="34" t="n">
        <v>0.23</v>
      </c>
      <c r="BC63" s="34" t="s">
        <v>200</v>
      </c>
      <c r="BD63" s="34" t="s">
        <v>200</v>
      </c>
      <c r="BE63" s="34" t="n">
        <v>1</v>
      </c>
      <c r="BF63" s="34" t="n">
        <v>0</v>
      </c>
      <c r="BG63" s="34" t="n">
        <v>0</v>
      </c>
      <c r="BH63" s="34" t="n">
        <v>1</v>
      </c>
      <c r="BI63" s="34" t="n">
        <v>1</v>
      </c>
      <c r="BJ63" s="34" t="s">
        <v>278</v>
      </c>
      <c r="BK63" s="34" t="n">
        <v>2.7</v>
      </c>
      <c r="BL63" s="34" t="n">
        <v>1</v>
      </c>
      <c r="BM63" s="34" t="s">
        <v>200</v>
      </c>
      <c r="BN63" s="34" t="n">
        <v>2</v>
      </c>
      <c r="BO63" s="34" t="n">
        <v>0</v>
      </c>
      <c r="BP63" s="34" t="n">
        <v>1</v>
      </c>
      <c r="BQ63" s="34" t="s">
        <v>208</v>
      </c>
      <c r="BR63" s="34" t="s">
        <v>200</v>
      </c>
      <c r="BS63" s="34" t="n">
        <v>0.21</v>
      </c>
      <c r="BT63" s="34" t="n">
        <v>0</v>
      </c>
      <c r="BU63" s="34" t="n">
        <v>0.22</v>
      </c>
      <c r="BV63" s="34" t="n">
        <v>0.15</v>
      </c>
      <c r="BW63" s="34" t="n">
        <v>1</v>
      </c>
      <c r="BX63" s="34" t="n">
        <v>1</v>
      </c>
      <c r="BY63" s="34" t="n">
        <v>0</v>
      </c>
      <c r="BZ63" s="34" t="s">
        <v>200</v>
      </c>
      <c r="CA63" s="34" t="s">
        <v>256</v>
      </c>
      <c r="CB63" s="34"/>
      <c r="CC63" s="34" t="n">
        <v>2.1</v>
      </c>
      <c r="CD63" s="34" t="n">
        <v>0.26</v>
      </c>
      <c r="CE63" s="34" t="n">
        <v>0.84</v>
      </c>
      <c r="CF63" s="34" t="n">
        <v>1</v>
      </c>
      <c r="CG63" s="34" t="n">
        <v>2</v>
      </c>
      <c r="CH63" s="34" t="n">
        <v>23</v>
      </c>
      <c r="CI63" s="34" t="n">
        <v>6.2</v>
      </c>
      <c r="CJ63" s="34" t="n">
        <v>1891</v>
      </c>
      <c r="CK63" s="34" t="n">
        <v>4</v>
      </c>
      <c r="CL63" s="34" t="n">
        <v>0.37</v>
      </c>
      <c r="CM63" s="35" t="n">
        <v>0</v>
      </c>
    </row>
    <row r="64" customFormat="false" ht="15" hidden="false" customHeight="false" outlineLevel="0" collapsed="false">
      <c r="A64" s="3" t="s">
        <v>279</v>
      </c>
      <c r="B64" s="34" t="n">
        <v>50</v>
      </c>
      <c r="C64" s="34" t="s">
        <v>210</v>
      </c>
      <c r="D64" s="34" t="s">
        <v>206</v>
      </c>
      <c r="E64" s="34" t="n">
        <v>1427</v>
      </c>
      <c r="F64" s="34" t="s">
        <v>211</v>
      </c>
      <c r="G64" s="34" t="s">
        <v>207</v>
      </c>
      <c r="H64" s="34" t="n">
        <v>9</v>
      </c>
      <c r="I64" s="34" t="n">
        <v>21</v>
      </c>
      <c r="J64" s="34" t="n">
        <v>40.1</v>
      </c>
      <c r="K64" s="34" t="n">
        <v>104</v>
      </c>
      <c r="L64" s="34" t="n">
        <v>14.1</v>
      </c>
      <c r="M64" s="34" t="n">
        <v>0.33</v>
      </c>
      <c r="N64" s="34" t="n">
        <v>0.47</v>
      </c>
      <c r="O64" s="34" t="n">
        <v>0.31</v>
      </c>
      <c r="P64" s="34" t="n">
        <v>94</v>
      </c>
      <c r="Q64" s="34" t="n">
        <v>3</v>
      </c>
      <c r="R64" s="34" t="n">
        <v>1.5</v>
      </c>
      <c r="S64" s="34" t="n">
        <v>19</v>
      </c>
      <c r="T64" s="34" t="n">
        <v>1078</v>
      </c>
      <c r="U64" s="34" t="n">
        <v>0.9</v>
      </c>
      <c r="V64" s="34" t="n">
        <v>2</v>
      </c>
      <c r="W64" s="34" t="n">
        <v>4</v>
      </c>
      <c r="X64" s="34" t="n">
        <v>31.8</v>
      </c>
      <c r="Y64" s="34" t="n">
        <v>18</v>
      </c>
      <c r="Z64" s="34" t="n">
        <v>2</v>
      </c>
      <c r="AA64" s="34" t="n">
        <v>0.23</v>
      </c>
      <c r="AB64" s="34" t="n">
        <v>0.47</v>
      </c>
      <c r="AC64" s="34" t="n">
        <v>3</v>
      </c>
      <c r="AD64" s="34" t="n">
        <v>91</v>
      </c>
      <c r="AE64" s="34" t="n">
        <v>2</v>
      </c>
      <c r="AF64" s="34" t="n">
        <v>0.24</v>
      </c>
      <c r="AG64" s="34" t="n">
        <v>1</v>
      </c>
      <c r="AH64" s="34" t="n">
        <v>1364</v>
      </c>
      <c r="AI64" s="34" t="n">
        <v>3624</v>
      </c>
      <c r="AJ64" s="34" t="n">
        <v>2.66</v>
      </c>
      <c r="AK64" s="34" t="n">
        <v>19</v>
      </c>
      <c r="AL64" s="34" t="n">
        <v>0.9</v>
      </c>
      <c r="AM64" s="34" t="n">
        <v>8.2</v>
      </c>
      <c r="AN64" s="34" t="n">
        <v>5.3</v>
      </c>
      <c r="AO64" s="34" t="n">
        <v>1.27</v>
      </c>
      <c r="AP64" s="34" t="n">
        <v>855</v>
      </c>
      <c r="AQ64" s="34" t="n">
        <v>95</v>
      </c>
      <c r="AR64" s="34" t="n">
        <v>0.236</v>
      </c>
      <c r="AS64" s="34" t="n">
        <v>15</v>
      </c>
      <c r="AT64" s="34" t="n">
        <v>0.52</v>
      </c>
      <c r="AU64" s="34" t="n">
        <v>243</v>
      </c>
      <c r="AV64" s="34" t="n">
        <v>15938</v>
      </c>
      <c r="AW64" s="34" t="n">
        <v>0.142</v>
      </c>
      <c r="AX64" s="34" t="n">
        <v>2</v>
      </c>
      <c r="AY64" s="34" t="n">
        <v>0.69</v>
      </c>
      <c r="AZ64" s="34" t="n">
        <v>2.4</v>
      </c>
      <c r="BA64" s="34" t="n">
        <v>3.1</v>
      </c>
      <c r="BB64" s="34" t="n">
        <v>0.66</v>
      </c>
      <c r="BC64" s="34" t="s">
        <v>207</v>
      </c>
      <c r="BD64" s="34" t="s">
        <v>207</v>
      </c>
      <c r="BE64" s="34" t="n">
        <v>2</v>
      </c>
      <c r="BF64" s="34" t="n">
        <v>1</v>
      </c>
      <c r="BG64" s="34" t="n">
        <v>0</v>
      </c>
      <c r="BH64" s="34" t="n">
        <v>0</v>
      </c>
      <c r="BI64" s="34" t="n">
        <v>1</v>
      </c>
      <c r="BJ64" s="34" t="s">
        <v>280</v>
      </c>
      <c r="BK64" s="34" t="n">
        <v>0.5</v>
      </c>
      <c r="BL64" s="34" t="n">
        <v>1</v>
      </c>
      <c r="BM64" s="34" t="s">
        <v>207</v>
      </c>
      <c r="BN64" s="34" t="n">
        <v>1</v>
      </c>
      <c r="BO64" s="34" t="n">
        <v>1</v>
      </c>
      <c r="BP64" s="34" t="n">
        <v>2</v>
      </c>
      <c r="BQ64" s="34" t="s">
        <v>254</v>
      </c>
      <c r="BR64" s="34" t="s">
        <v>200</v>
      </c>
      <c r="BS64" s="34" t="n">
        <v>0.57</v>
      </c>
      <c r="BT64" s="34" t="n">
        <v>1</v>
      </c>
      <c r="BU64" s="34" t="n">
        <v>0.12</v>
      </c>
      <c r="BV64" s="34" t="n">
        <v>0.26</v>
      </c>
      <c r="BW64" s="34" t="n">
        <v>4</v>
      </c>
      <c r="BX64" s="34" t="n">
        <v>1</v>
      </c>
      <c r="BY64" s="34" t="n">
        <v>1</v>
      </c>
      <c r="BZ64" s="34" t="s">
        <v>200</v>
      </c>
      <c r="CA64" s="34" t="s">
        <v>230</v>
      </c>
      <c r="CB64" s="34"/>
      <c r="CC64" s="34" t="n">
        <v>2.7</v>
      </c>
      <c r="CD64" s="34" t="n">
        <v>0.31</v>
      </c>
      <c r="CE64" s="34" t="n">
        <v>0.93</v>
      </c>
      <c r="CF64" s="34" t="n">
        <v>0</v>
      </c>
      <c r="CG64" s="34" t="n">
        <v>1</v>
      </c>
      <c r="CH64" s="34" t="n">
        <v>67</v>
      </c>
      <c r="CI64" s="34" t="n">
        <v>7</v>
      </c>
      <c r="CJ64" s="34" t="n">
        <v>4399</v>
      </c>
      <c r="CK64" s="34" t="n">
        <v>6</v>
      </c>
      <c r="CL64" s="34" t="n">
        <v>0.7</v>
      </c>
      <c r="CM64" s="35" t="n">
        <v>1</v>
      </c>
    </row>
    <row r="65" customFormat="false" ht="15" hidden="false" customHeight="false" outlineLevel="0" collapsed="false">
      <c r="A65" s="3" t="s">
        <v>281</v>
      </c>
      <c r="B65" s="34" t="n">
        <v>39</v>
      </c>
      <c r="C65" s="34" t="s">
        <v>197</v>
      </c>
      <c r="D65" s="34" t="s">
        <v>215</v>
      </c>
      <c r="E65" s="34" t="n">
        <v>846</v>
      </c>
      <c r="F65" s="34" t="s">
        <v>223</v>
      </c>
      <c r="G65" s="34" t="s">
        <v>200</v>
      </c>
      <c r="H65" s="34" t="n">
        <v>7</v>
      </c>
      <c r="I65" s="34" t="n">
        <v>7</v>
      </c>
      <c r="J65" s="34" t="n">
        <v>33.6</v>
      </c>
      <c r="K65" s="34" t="n">
        <v>95</v>
      </c>
      <c r="L65" s="34" t="n">
        <v>3.9</v>
      </c>
      <c r="M65" s="34" t="n">
        <v>0.06</v>
      </c>
      <c r="N65" s="34" t="n">
        <v>0.4</v>
      </c>
      <c r="O65" s="34" t="n">
        <v>0.21</v>
      </c>
      <c r="P65" s="34" t="n">
        <v>83</v>
      </c>
      <c r="Q65" s="34" t="n">
        <v>1</v>
      </c>
      <c r="R65" s="34" t="n">
        <v>0.6</v>
      </c>
      <c r="S65" s="34" t="n">
        <v>7</v>
      </c>
      <c r="T65" s="34" t="n">
        <v>200</v>
      </c>
      <c r="U65" s="34" t="n">
        <v>1</v>
      </c>
      <c r="V65" s="34" t="n">
        <v>1</v>
      </c>
      <c r="W65" s="34" t="n">
        <v>0</v>
      </c>
      <c r="X65" s="34" t="n">
        <v>120.8</v>
      </c>
      <c r="Y65" s="34" t="n">
        <v>30</v>
      </c>
      <c r="Z65" s="34" t="n">
        <v>0</v>
      </c>
      <c r="AA65" s="34" t="n">
        <v>0.12</v>
      </c>
      <c r="AB65" s="34" t="n">
        <v>0.62</v>
      </c>
      <c r="AC65" s="34" t="n">
        <v>3</v>
      </c>
      <c r="AD65" s="34" t="n">
        <v>48</v>
      </c>
      <c r="AE65" s="34" t="n">
        <v>1</v>
      </c>
      <c r="AF65" s="34" t="n">
        <v>1.04</v>
      </c>
      <c r="AG65" s="34" t="n">
        <v>0</v>
      </c>
      <c r="AH65" s="34" t="n">
        <v>113</v>
      </c>
      <c r="AI65" s="34" t="n">
        <v>97</v>
      </c>
      <c r="AJ65" s="34" t="n">
        <v>0.86</v>
      </c>
      <c r="AK65" s="34" t="n">
        <v>7</v>
      </c>
      <c r="AL65" s="34" t="n">
        <v>0.52</v>
      </c>
      <c r="AM65" s="34" t="n">
        <v>-0.2</v>
      </c>
      <c r="AN65" s="34" t="n">
        <v>2.3</v>
      </c>
      <c r="AO65" s="34" t="n">
        <v>0.81</v>
      </c>
      <c r="AP65" s="34" t="n">
        <v>28</v>
      </c>
      <c r="AQ65" s="34" t="n">
        <v>4</v>
      </c>
      <c r="AR65" s="34" t="n">
        <v>0.289</v>
      </c>
      <c r="AS65" s="34" t="n">
        <v>-8</v>
      </c>
      <c r="AT65" s="34" t="n">
        <v>0</v>
      </c>
      <c r="AU65" s="34" t="n">
        <v>10</v>
      </c>
      <c r="AV65" s="34" t="n">
        <v>481</v>
      </c>
      <c r="AW65" s="34" t="n">
        <v>0.019</v>
      </c>
      <c r="AX65" s="34" t="n">
        <v>1</v>
      </c>
      <c r="AY65" s="34" t="n">
        <v>0.78</v>
      </c>
      <c r="AZ65" s="34" t="n">
        <v>3.2</v>
      </c>
      <c r="BA65" s="34" t="n">
        <v>2.3</v>
      </c>
      <c r="BB65" s="34" t="n">
        <v>0.34</v>
      </c>
      <c r="BC65" s="34" t="s">
        <v>200</v>
      </c>
      <c r="BD65" s="34" t="s">
        <v>207</v>
      </c>
      <c r="BE65" s="34" t="n">
        <v>0</v>
      </c>
      <c r="BF65" s="34" t="n">
        <v>0</v>
      </c>
      <c r="BG65" s="34" t="n">
        <v>0</v>
      </c>
      <c r="BH65" s="34" t="n">
        <v>0</v>
      </c>
      <c r="BI65" s="34" t="n">
        <v>0</v>
      </c>
      <c r="BJ65" s="34"/>
      <c r="BK65" s="34" t="n">
        <v>7.6</v>
      </c>
      <c r="BL65" s="34" t="n">
        <v>0</v>
      </c>
      <c r="BM65" s="34" t="s">
        <v>200</v>
      </c>
      <c r="BN65" s="34" t="n">
        <v>1</v>
      </c>
      <c r="BO65" s="34" t="n">
        <v>0</v>
      </c>
      <c r="BP65" s="34" t="n">
        <v>1</v>
      </c>
      <c r="BQ65" s="34" t="s">
        <v>208</v>
      </c>
      <c r="BR65" s="34" t="s">
        <v>200</v>
      </c>
      <c r="BS65" s="34" t="n">
        <v>0.22</v>
      </c>
      <c r="BT65" s="34" t="n">
        <v>0</v>
      </c>
      <c r="BU65" s="34" t="n">
        <v>0.13</v>
      </c>
      <c r="BV65" s="34" t="n">
        <v>0.12</v>
      </c>
      <c r="BW65" s="34" t="n">
        <v>1</v>
      </c>
      <c r="BX65" s="34" t="n">
        <v>0</v>
      </c>
      <c r="BY65" s="34" t="n">
        <v>0</v>
      </c>
      <c r="BZ65" s="34" t="s">
        <v>200</v>
      </c>
      <c r="CA65" s="34" t="s">
        <v>202</v>
      </c>
      <c r="CB65" s="34"/>
      <c r="CC65" s="34" t="n">
        <v>1.8</v>
      </c>
      <c r="CD65" s="34" t="n">
        <v>0.09</v>
      </c>
      <c r="CE65" s="34" t="n">
        <v>0.21</v>
      </c>
      <c r="CF65" s="34" t="n">
        <v>0</v>
      </c>
      <c r="CG65" s="34" t="n">
        <v>1</v>
      </c>
      <c r="CH65" s="34" t="n">
        <v>-36</v>
      </c>
      <c r="CI65" s="34" t="n">
        <v>-6.1</v>
      </c>
      <c r="CJ65" s="34" t="n">
        <v>69</v>
      </c>
      <c r="CK65" s="34" t="n">
        <v>6</v>
      </c>
      <c r="CL65" s="34" t="n">
        <v>0.35</v>
      </c>
      <c r="CM65" s="35" t="n">
        <v>1</v>
      </c>
    </row>
    <row r="66" customFormat="false" ht="15" hidden="false" customHeight="false" outlineLevel="0" collapsed="false">
      <c r="A66" s="3" t="s">
        <v>282</v>
      </c>
      <c r="B66" s="34" t="n">
        <v>30</v>
      </c>
      <c r="C66" s="34" t="s">
        <v>197</v>
      </c>
      <c r="D66" s="34" t="s">
        <v>206</v>
      </c>
      <c r="E66" s="34" t="n">
        <v>606</v>
      </c>
      <c r="F66" s="34" t="s">
        <v>199</v>
      </c>
      <c r="G66" s="34" t="s">
        <v>200</v>
      </c>
      <c r="H66" s="34" t="n">
        <v>6</v>
      </c>
      <c r="I66" s="34" t="n">
        <v>10</v>
      </c>
      <c r="J66" s="34" t="n">
        <v>39.5</v>
      </c>
      <c r="K66" s="34" t="n">
        <v>120</v>
      </c>
      <c r="L66" s="34" t="n">
        <v>6.6</v>
      </c>
      <c r="M66" s="34" t="n">
        <v>0.12</v>
      </c>
      <c r="N66" s="34" t="n">
        <v>0.29</v>
      </c>
      <c r="O66" s="34" t="n">
        <v>0.25</v>
      </c>
      <c r="P66" s="34" t="n">
        <v>94</v>
      </c>
      <c r="Q66" s="34" t="n">
        <v>3</v>
      </c>
      <c r="R66" s="34" t="n">
        <v>1.1</v>
      </c>
      <c r="S66" s="34" t="n">
        <v>7</v>
      </c>
      <c r="T66" s="34" t="n">
        <v>289</v>
      </c>
      <c r="U66" s="34" t="n">
        <v>0.7</v>
      </c>
      <c r="V66" s="34" t="n">
        <v>1</v>
      </c>
      <c r="W66" s="34" t="n">
        <v>0</v>
      </c>
      <c r="X66" s="34" t="n">
        <v>81.8</v>
      </c>
      <c r="Y66" s="34" t="n">
        <v>46</v>
      </c>
      <c r="Z66" s="34" t="n">
        <v>0</v>
      </c>
      <c r="AA66" s="34" t="n">
        <v>0.13</v>
      </c>
      <c r="AB66" s="34" t="n">
        <v>0.14</v>
      </c>
      <c r="AC66" s="34" t="n">
        <v>1</v>
      </c>
      <c r="AD66" s="34" t="n">
        <v>29</v>
      </c>
      <c r="AE66" s="34" t="n">
        <v>0</v>
      </c>
      <c r="AF66" s="34" t="n">
        <v>0.4</v>
      </c>
      <c r="AG66" s="34" t="n">
        <v>1</v>
      </c>
      <c r="AH66" s="34" t="n">
        <v>223</v>
      </c>
      <c r="AI66" s="34" t="n">
        <v>93</v>
      </c>
      <c r="AJ66" s="34" t="n">
        <v>0.42</v>
      </c>
      <c r="AK66" s="34" t="n">
        <v>1</v>
      </c>
      <c r="AL66" s="34" t="n">
        <v>0.7</v>
      </c>
      <c r="AM66" s="34" t="n">
        <v>5.3</v>
      </c>
      <c r="AN66" s="34" t="n">
        <v>4.4</v>
      </c>
      <c r="AO66" s="34" t="n">
        <v>0.86</v>
      </c>
      <c r="AP66" s="34" t="n">
        <v>215</v>
      </c>
      <c r="AQ66" s="34" t="n">
        <v>36</v>
      </c>
      <c r="AR66" s="34" t="n">
        <v>2.312</v>
      </c>
      <c r="AS66" s="34" t="n">
        <v>-7</v>
      </c>
      <c r="AT66" s="34" t="n">
        <v>0.07</v>
      </c>
      <c r="AU66" s="34" t="n">
        <v>59</v>
      </c>
      <c r="AV66" s="34" t="n">
        <v>2294</v>
      </c>
      <c r="AW66" s="34" t="n">
        <v>0.072</v>
      </c>
      <c r="AX66" s="34" t="n">
        <v>1</v>
      </c>
      <c r="AY66" s="34" t="n">
        <v>0.69</v>
      </c>
      <c r="AZ66" s="34" t="n">
        <v>2.5</v>
      </c>
      <c r="BA66" s="34" t="n">
        <v>2.8</v>
      </c>
      <c r="BB66" s="34" t="n">
        <v>0.08</v>
      </c>
      <c r="BC66" s="34" t="s">
        <v>200</v>
      </c>
      <c r="BD66" s="34" t="s">
        <v>200</v>
      </c>
      <c r="BE66" s="34" t="n">
        <v>0</v>
      </c>
      <c r="BF66" s="34" t="n">
        <v>1</v>
      </c>
      <c r="BG66" s="34" t="n">
        <v>0</v>
      </c>
      <c r="BH66" s="34" t="n">
        <v>0</v>
      </c>
      <c r="BI66" s="34" t="n">
        <v>0</v>
      </c>
      <c r="BJ66" s="34"/>
      <c r="BK66" s="34" t="n">
        <v>2.5</v>
      </c>
      <c r="BL66" s="34" t="n">
        <v>0</v>
      </c>
      <c r="BM66" s="34" t="s">
        <v>200</v>
      </c>
      <c r="BN66" s="34" t="n">
        <v>2</v>
      </c>
      <c r="BO66" s="34" t="n">
        <v>0</v>
      </c>
      <c r="BP66" s="34" t="n">
        <v>0</v>
      </c>
      <c r="BQ66" s="34" t="s">
        <v>201</v>
      </c>
      <c r="BR66" s="34" t="s">
        <v>200</v>
      </c>
      <c r="BS66" s="34" t="n">
        <v>0.42</v>
      </c>
      <c r="BT66" s="34" t="n">
        <v>0</v>
      </c>
      <c r="BU66" s="34" t="n">
        <v>0.09</v>
      </c>
      <c r="BV66" s="34" t="n">
        <v>0.37</v>
      </c>
      <c r="BW66" s="34" t="n">
        <v>2</v>
      </c>
      <c r="BX66" s="34" t="n">
        <v>0</v>
      </c>
      <c r="BY66" s="34" t="n">
        <v>0</v>
      </c>
      <c r="BZ66" s="34" t="s">
        <v>200</v>
      </c>
      <c r="CA66" s="34" t="s">
        <v>202</v>
      </c>
      <c r="CB66" s="34"/>
      <c r="CC66" s="34" t="n">
        <v>1.3</v>
      </c>
      <c r="CD66" s="34" t="n">
        <v>0.27</v>
      </c>
      <c r="CE66" s="34" t="n">
        <v>0.52</v>
      </c>
      <c r="CF66" s="34" t="n">
        <v>0</v>
      </c>
      <c r="CG66" s="34" t="n">
        <v>1</v>
      </c>
      <c r="CH66" s="34" t="n">
        <v>36</v>
      </c>
      <c r="CI66" s="34" t="n">
        <v>3.6</v>
      </c>
      <c r="CJ66" s="34" t="n">
        <v>75</v>
      </c>
      <c r="CK66" s="34" t="n">
        <v>6</v>
      </c>
      <c r="CL66" s="34" t="n">
        <v>0.41</v>
      </c>
      <c r="CM66" s="35" t="n">
        <v>0</v>
      </c>
    </row>
    <row r="67" customFormat="false" ht="15" hidden="false" customHeight="false" outlineLevel="0" collapsed="false">
      <c r="A67" s="3" t="s">
        <v>283</v>
      </c>
      <c r="B67" s="34" t="n">
        <v>48</v>
      </c>
      <c r="C67" s="34" t="s">
        <v>197</v>
      </c>
      <c r="D67" s="34" t="s">
        <v>243</v>
      </c>
      <c r="E67" s="34" t="n">
        <v>839</v>
      </c>
      <c r="F67" s="34" t="s">
        <v>199</v>
      </c>
      <c r="G67" s="34" t="s">
        <v>200</v>
      </c>
      <c r="H67" s="34" t="n">
        <v>1</v>
      </c>
      <c r="I67" s="34" t="n">
        <v>1</v>
      </c>
      <c r="J67" s="34" t="n">
        <v>27.4</v>
      </c>
      <c r="K67" s="34" t="n">
        <v>39</v>
      </c>
      <c r="L67" s="34" t="n">
        <v>0.5</v>
      </c>
      <c r="M67" s="34" t="n">
        <v>0.14</v>
      </c>
      <c r="N67" s="34" t="n">
        <v>0.28</v>
      </c>
      <c r="O67" s="34" t="n">
        <v>0.13</v>
      </c>
      <c r="P67" s="34" t="n">
        <v>30</v>
      </c>
      <c r="Q67" s="34" t="n">
        <v>1</v>
      </c>
      <c r="R67" s="34" t="n">
        <v>0.8</v>
      </c>
      <c r="S67" s="34" t="n">
        <v>1</v>
      </c>
      <c r="T67" s="34" t="n">
        <v>33</v>
      </c>
      <c r="U67" s="34" t="n">
        <v>1</v>
      </c>
      <c r="V67" s="34" t="n">
        <v>1</v>
      </c>
      <c r="W67" s="34" t="n">
        <v>0</v>
      </c>
      <c r="X67" s="34" t="n">
        <v>556.9</v>
      </c>
      <c r="Y67" s="34" t="n">
        <v>-21</v>
      </c>
      <c r="Z67" s="34" t="n">
        <v>0</v>
      </c>
      <c r="AA67" s="34" t="n">
        <v>0.08</v>
      </c>
      <c r="AB67" s="34" t="n">
        <v>0.35</v>
      </c>
      <c r="AC67" s="34" t="n">
        <v>4</v>
      </c>
      <c r="AD67" s="34" t="n">
        <v>99</v>
      </c>
      <c r="AE67" s="34" t="n">
        <v>0</v>
      </c>
      <c r="AF67" s="34" t="n">
        <v>0.44</v>
      </c>
      <c r="AG67" s="34" t="n">
        <v>0</v>
      </c>
      <c r="AH67" s="34" t="n">
        <v>49</v>
      </c>
      <c r="AI67" s="34" t="n">
        <v>37</v>
      </c>
      <c r="AJ67" s="34" t="n">
        <v>0.76</v>
      </c>
      <c r="AK67" s="34" t="n">
        <v>3</v>
      </c>
      <c r="AL67" s="34" t="n">
        <v>0.34</v>
      </c>
      <c r="AM67" s="34" t="n">
        <v>3.1</v>
      </c>
      <c r="AN67" s="34" t="n">
        <v>4.2</v>
      </c>
      <c r="AO67" s="34" t="n">
        <v>1.14</v>
      </c>
      <c r="AP67" s="34" t="n">
        <v>21</v>
      </c>
      <c r="AQ67" s="34" t="n">
        <v>21</v>
      </c>
      <c r="AR67" s="34" t="n">
        <v>0.568</v>
      </c>
      <c r="AS67" s="34" t="n">
        <v>-2</v>
      </c>
      <c r="AT67" s="34" t="n">
        <v>0.04</v>
      </c>
      <c r="AU67" s="34" t="n">
        <v>7</v>
      </c>
      <c r="AV67" s="34" t="n">
        <v>268</v>
      </c>
      <c r="AW67" s="34" t="n">
        <v>0.007</v>
      </c>
      <c r="AX67" s="34" t="n">
        <v>1</v>
      </c>
      <c r="AY67" s="34" t="n">
        <v>0.71</v>
      </c>
      <c r="AZ67" s="34" t="n">
        <v>2.2</v>
      </c>
      <c r="BA67" s="34" t="n">
        <v>1</v>
      </c>
      <c r="BB67" s="34" t="n">
        <v>0.36</v>
      </c>
      <c r="BC67" s="34" t="s">
        <v>200</v>
      </c>
      <c r="BD67" s="34" t="s">
        <v>207</v>
      </c>
      <c r="BE67" s="34" t="n">
        <v>0</v>
      </c>
      <c r="BF67" s="34" t="n">
        <v>0</v>
      </c>
      <c r="BG67" s="34" t="n">
        <v>1</v>
      </c>
      <c r="BH67" s="34" t="n">
        <v>0</v>
      </c>
      <c r="BI67" s="34" t="n">
        <v>0</v>
      </c>
      <c r="BJ67" s="34"/>
      <c r="BK67" s="34" t="n">
        <v>7.2</v>
      </c>
      <c r="BL67" s="34" t="n">
        <v>0</v>
      </c>
      <c r="BM67" s="34" t="s">
        <v>200</v>
      </c>
      <c r="BN67" s="34" t="n">
        <v>2</v>
      </c>
      <c r="BO67" s="34" t="n">
        <v>0</v>
      </c>
      <c r="BP67" s="34" t="n">
        <v>1</v>
      </c>
      <c r="BQ67" s="34" t="s">
        <v>208</v>
      </c>
      <c r="BR67" s="34" t="s">
        <v>200</v>
      </c>
      <c r="BS67" s="34" t="n">
        <v>0.24</v>
      </c>
      <c r="BT67" s="34" t="n">
        <v>0</v>
      </c>
      <c r="BU67" s="34" t="n">
        <v>0.22</v>
      </c>
      <c r="BV67" s="34" t="n">
        <v>0.3</v>
      </c>
      <c r="BW67" s="34" t="n">
        <v>1</v>
      </c>
      <c r="BX67" s="34" t="n">
        <v>0</v>
      </c>
      <c r="BY67" s="34" t="n">
        <v>0</v>
      </c>
      <c r="BZ67" s="34" t="s">
        <v>200</v>
      </c>
      <c r="CA67" s="34" t="s">
        <v>202</v>
      </c>
      <c r="CB67" s="34"/>
      <c r="CC67" s="34" t="n">
        <v>1.1</v>
      </c>
      <c r="CD67" s="34" t="n">
        <v>0.14</v>
      </c>
      <c r="CE67" s="34" t="n">
        <v>0.55</v>
      </c>
      <c r="CF67" s="34" t="n">
        <v>0</v>
      </c>
      <c r="CG67" s="34" t="n">
        <v>1</v>
      </c>
      <c r="CH67" s="34" t="n">
        <v>15</v>
      </c>
      <c r="CI67" s="34" t="n">
        <v>-4.2</v>
      </c>
      <c r="CJ67" s="34" t="n">
        <v>36</v>
      </c>
      <c r="CK67" s="34" t="n">
        <v>6</v>
      </c>
      <c r="CL67" s="34" t="n">
        <v>0.41</v>
      </c>
      <c r="CM67" s="35" t="n">
        <v>0</v>
      </c>
    </row>
    <row r="68" customFormat="false" ht="15" hidden="false" customHeight="false" outlineLevel="0" collapsed="false">
      <c r="A68" s="3" t="s">
        <v>284</v>
      </c>
      <c r="B68" s="34" t="n">
        <v>55</v>
      </c>
      <c r="C68" s="34" t="s">
        <v>197</v>
      </c>
      <c r="D68" s="34" t="s">
        <v>206</v>
      </c>
      <c r="E68" s="34" t="n">
        <v>59</v>
      </c>
      <c r="F68" s="34" t="s">
        <v>211</v>
      </c>
      <c r="G68" s="34" t="s">
        <v>200</v>
      </c>
      <c r="H68" s="34" t="n">
        <v>11</v>
      </c>
      <c r="I68" s="34" t="n">
        <v>22</v>
      </c>
      <c r="J68" s="34" t="n">
        <v>38.7</v>
      </c>
      <c r="K68" s="34" t="n">
        <v>85</v>
      </c>
      <c r="L68" s="34" t="n">
        <v>14.2</v>
      </c>
      <c r="M68" s="34" t="n">
        <v>0.03</v>
      </c>
      <c r="N68" s="34" t="n">
        <v>0.31</v>
      </c>
      <c r="O68" s="34" t="n">
        <v>0.08</v>
      </c>
      <c r="P68" s="34" t="n">
        <v>59</v>
      </c>
      <c r="Q68" s="34" t="n">
        <v>1</v>
      </c>
      <c r="R68" s="34" t="n">
        <v>1</v>
      </c>
      <c r="S68" s="34" t="n">
        <v>32</v>
      </c>
      <c r="T68" s="34" t="n">
        <v>2054</v>
      </c>
      <c r="U68" s="34" t="n">
        <v>1.45</v>
      </c>
      <c r="V68" s="34" t="n">
        <v>1</v>
      </c>
      <c r="W68" s="34" t="n">
        <v>1</v>
      </c>
      <c r="X68" s="34" t="n">
        <v>16.3</v>
      </c>
      <c r="Y68" s="34" t="n">
        <v>39</v>
      </c>
      <c r="Z68" s="34" t="n">
        <v>1</v>
      </c>
      <c r="AA68" s="34" t="n">
        <v>0.02</v>
      </c>
      <c r="AB68" s="34" t="n">
        <v>0.55</v>
      </c>
      <c r="AC68" s="34" t="n">
        <v>0</v>
      </c>
      <c r="AD68" s="34" t="n">
        <v>98</v>
      </c>
      <c r="AE68" s="34" t="n">
        <v>0</v>
      </c>
      <c r="AF68" s="34" t="n">
        <v>0.62</v>
      </c>
      <c r="AG68" s="34" t="n">
        <v>0</v>
      </c>
      <c r="AH68" s="34" t="n">
        <v>956</v>
      </c>
      <c r="AI68" s="34" t="n">
        <v>867</v>
      </c>
      <c r="AJ68" s="34" t="n">
        <v>0.91</v>
      </c>
      <c r="AK68" s="34" t="n">
        <v>3</v>
      </c>
      <c r="AL68" s="34" t="n">
        <v>0.63</v>
      </c>
      <c r="AM68" s="34" t="n">
        <v>3.5</v>
      </c>
      <c r="AN68" s="34" t="n">
        <v>3.4</v>
      </c>
      <c r="AO68" s="34" t="n">
        <v>1.1</v>
      </c>
      <c r="AP68" s="34" t="n">
        <v>1171</v>
      </c>
      <c r="AQ68" s="34" t="n">
        <v>106</v>
      </c>
      <c r="AR68" s="34" t="n">
        <v>1.351</v>
      </c>
      <c r="AS68" s="34" t="n">
        <v>27</v>
      </c>
      <c r="AT68" s="34" t="n">
        <v>0.1</v>
      </c>
      <c r="AU68" s="34" t="n">
        <v>241</v>
      </c>
      <c r="AV68" s="34" t="n">
        <v>1518</v>
      </c>
      <c r="AW68" s="34" t="n">
        <v>0.195</v>
      </c>
      <c r="AX68" s="34" t="n">
        <v>1</v>
      </c>
      <c r="AY68" s="34" t="n">
        <v>0.53</v>
      </c>
      <c r="AZ68" s="34" t="n">
        <v>2.2</v>
      </c>
      <c r="BA68" s="34" t="n">
        <v>2.3</v>
      </c>
      <c r="BB68" s="34" t="n">
        <v>0.39</v>
      </c>
      <c r="BC68" s="34" t="s">
        <v>200</v>
      </c>
      <c r="BD68" s="34" t="s">
        <v>207</v>
      </c>
      <c r="BE68" s="34" t="n">
        <v>0</v>
      </c>
      <c r="BF68" s="34" t="n">
        <v>0</v>
      </c>
      <c r="BG68" s="34" t="n">
        <v>1</v>
      </c>
      <c r="BH68" s="34" t="n">
        <v>0</v>
      </c>
      <c r="BI68" s="34" t="n">
        <v>0</v>
      </c>
      <c r="BJ68" s="34"/>
      <c r="BK68" s="34" t="n">
        <v>6.1</v>
      </c>
      <c r="BL68" s="34" t="n">
        <v>0</v>
      </c>
      <c r="BM68" s="34" t="s">
        <v>200</v>
      </c>
      <c r="BN68" s="34" t="n">
        <v>2</v>
      </c>
      <c r="BO68" s="34" t="n">
        <v>0</v>
      </c>
      <c r="BP68" s="34" t="n">
        <v>2</v>
      </c>
      <c r="BQ68" s="34" t="s">
        <v>201</v>
      </c>
      <c r="BR68" s="34" t="s">
        <v>200</v>
      </c>
      <c r="BS68" s="34" t="n">
        <v>0.21</v>
      </c>
      <c r="BT68" s="34" t="n">
        <v>1</v>
      </c>
      <c r="BU68" s="34" t="n">
        <v>0.2</v>
      </c>
      <c r="BV68" s="34" t="n">
        <v>0.19</v>
      </c>
      <c r="BW68" s="34" t="n">
        <v>3</v>
      </c>
      <c r="BX68" s="34" t="n">
        <v>1</v>
      </c>
      <c r="BY68" s="34" t="n">
        <v>0</v>
      </c>
      <c r="BZ68" s="34" t="s">
        <v>200</v>
      </c>
      <c r="CA68" s="34" t="s">
        <v>202</v>
      </c>
      <c r="CB68" s="34" t="n">
        <v>3</v>
      </c>
      <c r="CC68" s="34" t="n">
        <v>1.8</v>
      </c>
      <c r="CD68" s="34" t="n">
        <v>0.27</v>
      </c>
      <c r="CE68" s="34" t="n">
        <v>0.54</v>
      </c>
      <c r="CF68" s="34" t="n">
        <v>0</v>
      </c>
      <c r="CG68" s="34" t="n">
        <v>1</v>
      </c>
      <c r="CH68" s="34" t="n">
        <v>66</v>
      </c>
      <c r="CI68" s="34" t="n">
        <v>-6.9</v>
      </c>
      <c r="CJ68" s="34" t="n">
        <v>759</v>
      </c>
      <c r="CK68" s="34" t="n">
        <v>1</v>
      </c>
      <c r="CL68" s="34" t="n">
        <v>0.45</v>
      </c>
      <c r="CM68" s="35" t="n">
        <v>0</v>
      </c>
    </row>
    <row r="69" customFormat="false" ht="15" hidden="false" customHeight="false" outlineLevel="0" collapsed="false">
      <c r="A69" s="3" t="s">
        <v>285</v>
      </c>
      <c r="B69" s="34" t="n">
        <v>35</v>
      </c>
      <c r="C69" s="34" t="s">
        <v>210</v>
      </c>
      <c r="D69" s="34" t="s">
        <v>206</v>
      </c>
      <c r="E69" s="34" t="n">
        <v>1398</v>
      </c>
      <c r="F69" s="34" t="s">
        <v>223</v>
      </c>
      <c r="G69" s="34" t="s">
        <v>200</v>
      </c>
      <c r="H69" s="34" t="n">
        <v>3</v>
      </c>
      <c r="I69" s="34" t="n">
        <v>6</v>
      </c>
      <c r="J69" s="34" t="n">
        <v>45.6</v>
      </c>
      <c r="K69" s="34" t="n">
        <v>137</v>
      </c>
      <c r="L69" s="34" t="n">
        <v>4.6</v>
      </c>
      <c r="M69" s="34" t="n">
        <v>0.04</v>
      </c>
      <c r="N69" s="34" t="n">
        <v>0.32</v>
      </c>
      <c r="O69" s="34" t="n">
        <v>0.08</v>
      </c>
      <c r="P69" s="34" t="n">
        <v>132</v>
      </c>
      <c r="Q69" s="34" t="n">
        <v>1</v>
      </c>
      <c r="R69" s="34" t="n">
        <v>0.4</v>
      </c>
      <c r="S69" s="34" t="n">
        <v>3</v>
      </c>
      <c r="T69" s="34" t="n">
        <v>74</v>
      </c>
      <c r="U69" s="34" t="n">
        <v>0.5</v>
      </c>
      <c r="V69" s="34" t="n">
        <v>1</v>
      </c>
      <c r="W69" s="34" t="n">
        <v>0</v>
      </c>
      <c r="X69" s="34" t="n">
        <v>172.4</v>
      </c>
      <c r="Y69" s="34" t="n">
        <v>-48</v>
      </c>
      <c r="Z69" s="34" t="n">
        <v>0</v>
      </c>
      <c r="AA69" s="34" t="n">
        <v>0</v>
      </c>
      <c r="AB69" s="34" t="n">
        <v>0.29</v>
      </c>
      <c r="AC69" s="34" t="n">
        <v>3</v>
      </c>
      <c r="AD69" s="34" t="n">
        <v>111</v>
      </c>
      <c r="AE69" s="34" t="n">
        <v>0</v>
      </c>
      <c r="AF69" s="34" t="n">
        <v>0.93</v>
      </c>
      <c r="AG69" s="34" t="n">
        <v>0</v>
      </c>
      <c r="AH69" s="34" t="n">
        <v>125</v>
      </c>
      <c r="AI69" s="34" t="n">
        <v>126</v>
      </c>
      <c r="AJ69" s="34" t="n">
        <v>1.01</v>
      </c>
      <c r="AK69" s="34" t="n">
        <v>9</v>
      </c>
      <c r="AL69" s="34" t="n">
        <v>0.31</v>
      </c>
      <c r="AM69" s="34" t="n">
        <v>-12.3</v>
      </c>
      <c r="AN69" s="34" t="n">
        <v>1.1</v>
      </c>
      <c r="AO69" s="34" t="n">
        <v>0.91</v>
      </c>
      <c r="AP69" s="34" t="n">
        <v>5</v>
      </c>
      <c r="AQ69" s="34" t="n">
        <v>2</v>
      </c>
      <c r="AR69" s="34" t="n">
        <v>0.04</v>
      </c>
      <c r="AS69" s="34" t="n">
        <v>2</v>
      </c>
      <c r="AT69" s="34" t="n">
        <v>0.04</v>
      </c>
      <c r="AU69" s="34" t="n">
        <v>1</v>
      </c>
      <c r="AV69" s="34" t="n">
        <v>123</v>
      </c>
      <c r="AW69" s="34" t="n">
        <v>0.003</v>
      </c>
      <c r="AX69" s="34" t="n">
        <v>1</v>
      </c>
      <c r="AY69" s="34" t="n">
        <v>0.02</v>
      </c>
      <c r="AZ69" s="34" t="n">
        <v>2.7</v>
      </c>
      <c r="BA69" s="34" t="n">
        <v>1</v>
      </c>
      <c r="BB69" s="34" t="n">
        <v>0.19</v>
      </c>
      <c r="BC69" s="34" t="s">
        <v>200</v>
      </c>
      <c r="BD69" s="34" t="s">
        <v>207</v>
      </c>
      <c r="BE69" s="34" t="n">
        <v>0</v>
      </c>
      <c r="BF69" s="34" t="n">
        <v>0</v>
      </c>
      <c r="BG69" s="34" t="n">
        <v>1</v>
      </c>
      <c r="BH69" s="34" t="n">
        <v>0</v>
      </c>
      <c r="BI69" s="34" t="n">
        <v>0</v>
      </c>
      <c r="BJ69" s="34"/>
      <c r="BK69" s="34" t="n">
        <v>10.1</v>
      </c>
      <c r="BL69" s="34" t="n">
        <v>0</v>
      </c>
      <c r="BM69" s="34" t="s">
        <v>200</v>
      </c>
      <c r="BN69" s="34" t="n">
        <v>1</v>
      </c>
      <c r="BO69" s="34" t="n">
        <v>1</v>
      </c>
      <c r="BP69" s="34" t="n">
        <v>0</v>
      </c>
      <c r="BQ69" s="34" t="s">
        <v>201</v>
      </c>
      <c r="BR69" s="34" t="s">
        <v>200</v>
      </c>
      <c r="BS69" s="34" t="n">
        <v>0</v>
      </c>
      <c r="BT69" s="34" t="n">
        <v>0</v>
      </c>
      <c r="BU69" s="34" t="n">
        <v>0.11</v>
      </c>
      <c r="BV69" s="34" t="n">
        <v>0.19</v>
      </c>
      <c r="BW69" s="34" t="n">
        <v>0</v>
      </c>
      <c r="BX69" s="34" t="n">
        <v>0</v>
      </c>
      <c r="BY69" s="34" t="n">
        <v>0</v>
      </c>
      <c r="BZ69" s="34" t="s">
        <v>200</v>
      </c>
      <c r="CA69" s="34" t="s">
        <v>202</v>
      </c>
      <c r="CB69" s="34"/>
      <c r="CC69" s="34" t="n">
        <v>0.3</v>
      </c>
      <c r="CD69" s="34" t="n">
        <v>0.27</v>
      </c>
      <c r="CE69" s="34" t="n">
        <v>0.71</v>
      </c>
      <c r="CF69" s="34" t="n">
        <v>0</v>
      </c>
      <c r="CG69" s="34" t="n">
        <v>1</v>
      </c>
      <c r="CH69" s="34" t="n">
        <v>-40</v>
      </c>
      <c r="CI69" s="34" t="n">
        <v>-4.9</v>
      </c>
      <c r="CJ69" s="34" t="n">
        <v>42</v>
      </c>
      <c r="CK69" s="34" t="n">
        <v>6</v>
      </c>
      <c r="CL69" s="34" t="n">
        <v>0.29</v>
      </c>
      <c r="CM69" s="35" t="n">
        <v>0</v>
      </c>
    </row>
    <row r="70" customFormat="false" ht="15" hidden="false" customHeight="false" outlineLevel="0" collapsed="false">
      <c r="A70" s="3" t="s">
        <v>286</v>
      </c>
      <c r="B70" s="34" t="n">
        <v>43</v>
      </c>
      <c r="C70" s="34" t="s">
        <v>197</v>
      </c>
      <c r="D70" s="34" t="s">
        <v>198</v>
      </c>
      <c r="E70" s="34" t="n">
        <v>946</v>
      </c>
      <c r="F70" s="34" t="s">
        <v>199</v>
      </c>
      <c r="G70" s="34" t="s">
        <v>200</v>
      </c>
      <c r="H70" s="34" t="n">
        <v>7</v>
      </c>
      <c r="I70" s="34" t="n">
        <v>15</v>
      </c>
      <c r="J70" s="34" t="n">
        <v>32.8</v>
      </c>
      <c r="K70" s="34" t="n">
        <v>76</v>
      </c>
      <c r="L70" s="34" t="n">
        <v>8.2</v>
      </c>
      <c r="M70" s="34" t="n">
        <v>0.04</v>
      </c>
      <c r="N70" s="34" t="n">
        <v>0.25</v>
      </c>
      <c r="O70" s="34" t="n">
        <v>0</v>
      </c>
      <c r="P70" s="34" t="n">
        <v>65</v>
      </c>
      <c r="Q70" s="34" t="n">
        <v>1</v>
      </c>
      <c r="R70" s="34" t="n">
        <v>2</v>
      </c>
      <c r="S70" s="34" t="n">
        <v>3</v>
      </c>
      <c r="T70" s="34" t="n">
        <v>85</v>
      </c>
      <c r="U70" s="34" t="n">
        <v>0.2</v>
      </c>
      <c r="V70" s="34" t="n">
        <v>1</v>
      </c>
      <c r="W70" s="34" t="n">
        <v>1</v>
      </c>
      <c r="X70" s="34" t="n">
        <v>262.6</v>
      </c>
      <c r="Y70" s="34" t="n">
        <v>26</v>
      </c>
      <c r="Z70" s="34" t="n">
        <v>0</v>
      </c>
      <c r="AA70" s="34" t="n">
        <v>0.14</v>
      </c>
      <c r="AB70" s="34" t="n">
        <v>0.04</v>
      </c>
      <c r="AC70" s="34" t="n">
        <v>5</v>
      </c>
      <c r="AD70" s="34" t="n">
        <v>34</v>
      </c>
      <c r="AE70" s="34" t="n">
        <v>0</v>
      </c>
      <c r="AF70" s="34" t="n">
        <v>0.79</v>
      </c>
      <c r="AG70" s="34" t="n">
        <v>0</v>
      </c>
      <c r="AH70" s="34" t="n">
        <v>841</v>
      </c>
      <c r="AI70" s="34" t="n">
        <v>1018</v>
      </c>
      <c r="AJ70" s="34" t="n">
        <v>1.21</v>
      </c>
      <c r="AK70" s="34" t="n">
        <v>4</v>
      </c>
      <c r="AL70" s="34" t="n">
        <v>0.41</v>
      </c>
      <c r="AM70" s="34" t="n">
        <v>1.2</v>
      </c>
      <c r="AN70" s="34" t="n">
        <v>4.3</v>
      </c>
      <c r="AO70" s="34" t="n">
        <v>0.81</v>
      </c>
      <c r="AP70" s="34" t="n">
        <v>33</v>
      </c>
      <c r="AQ70" s="34" t="n">
        <v>5</v>
      </c>
      <c r="AR70" s="34" t="n">
        <v>0.032</v>
      </c>
      <c r="AS70" s="34" t="n">
        <v>-34</v>
      </c>
      <c r="AT70" s="34" t="n">
        <v>0.03</v>
      </c>
      <c r="AU70" s="34" t="n">
        <v>13</v>
      </c>
      <c r="AV70" s="34" t="n">
        <v>624</v>
      </c>
      <c r="AW70" s="34" t="n">
        <v>0.011</v>
      </c>
      <c r="AX70" s="34" t="n">
        <v>1</v>
      </c>
      <c r="AY70" s="34" t="n">
        <v>0.18</v>
      </c>
      <c r="AZ70" s="34" t="n">
        <v>2.2</v>
      </c>
      <c r="BA70" s="34" t="n">
        <v>1</v>
      </c>
      <c r="BB70" s="34" t="n">
        <v>0.19</v>
      </c>
      <c r="BC70" s="34" t="s">
        <v>200</v>
      </c>
      <c r="BD70" s="34" t="s">
        <v>207</v>
      </c>
      <c r="BE70" s="34" t="n">
        <v>0</v>
      </c>
      <c r="BF70" s="34" t="n">
        <v>0</v>
      </c>
      <c r="BG70" s="34" t="n">
        <v>0</v>
      </c>
      <c r="BH70" s="34" t="n">
        <v>0</v>
      </c>
      <c r="BI70" s="34" t="n">
        <v>0</v>
      </c>
      <c r="BJ70" s="34"/>
      <c r="BK70" s="34" t="n">
        <v>10.2</v>
      </c>
      <c r="BL70" s="34" t="n">
        <v>1</v>
      </c>
      <c r="BM70" s="34" t="s">
        <v>200</v>
      </c>
      <c r="BN70" s="34" t="n">
        <v>2</v>
      </c>
      <c r="BO70" s="34" t="n">
        <v>0</v>
      </c>
      <c r="BP70" s="34" t="n">
        <v>0</v>
      </c>
      <c r="BQ70" s="34" t="s">
        <v>201</v>
      </c>
      <c r="BR70" s="34" t="s">
        <v>200</v>
      </c>
      <c r="BS70" s="34" t="n">
        <v>0.33</v>
      </c>
      <c r="BT70" s="34" t="n">
        <v>0</v>
      </c>
      <c r="BU70" s="34" t="n">
        <v>0.2</v>
      </c>
      <c r="BV70" s="34" t="n">
        <v>0.14</v>
      </c>
      <c r="BW70" s="34" t="n">
        <v>2</v>
      </c>
      <c r="BX70" s="34" t="n">
        <v>0</v>
      </c>
      <c r="BY70" s="34" t="n">
        <v>0</v>
      </c>
      <c r="BZ70" s="34" t="s">
        <v>200</v>
      </c>
      <c r="CA70" s="34" t="s">
        <v>202</v>
      </c>
      <c r="CB70" s="34"/>
      <c r="CC70" s="34" t="n">
        <v>1</v>
      </c>
      <c r="CD70" s="34" t="n">
        <v>0.12</v>
      </c>
      <c r="CE70" s="34" t="n">
        <v>0.45</v>
      </c>
      <c r="CF70" s="34" t="n">
        <v>0</v>
      </c>
      <c r="CG70" s="34" t="n">
        <v>1</v>
      </c>
      <c r="CH70" s="34" t="n">
        <v>9</v>
      </c>
      <c r="CI70" s="34" t="n">
        <v>-1.3</v>
      </c>
      <c r="CJ70" s="34" t="n">
        <v>996</v>
      </c>
      <c r="CK70" s="34" t="n">
        <v>6</v>
      </c>
      <c r="CL70" s="34" t="n">
        <v>0.3</v>
      </c>
      <c r="CM70" s="35" t="n">
        <v>0</v>
      </c>
    </row>
    <row r="71" customFormat="false" ht="15" hidden="false" customHeight="false" outlineLevel="0" collapsed="false">
      <c r="A71" s="3" t="s">
        <v>287</v>
      </c>
      <c r="B71" s="34" t="n">
        <v>37</v>
      </c>
      <c r="C71" s="34" t="s">
        <v>197</v>
      </c>
      <c r="D71" s="34" t="s">
        <v>217</v>
      </c>
      <c r="E71" s="34" t="n">
        <v>64</v>
      </c>
      <c r="F71" s="34" t="s">
        <v>223</v>
      </c>
      <c r="G71" s="34" t="s">
        <v>200</v>
      </c>
      <c r="H71" s="34" t="n">
        <v>8</v>
      </c>
      <c r="I71" s="34" t="n">
        <v>11</v>
      </c>
      <c r="J71" s="34" t="n">
        <v>60.2</v>
      </c>
      <c r="K71" s="34" t="n">
        <v>126</v>
      </c>
      <c r="L71" s="34" t="n">
        <v>11</v>
      </c>
      <c r="M71" s="34" t="n">
        <v>0.08</v>
      </c>
      <c r="N71" s="34" t="n">
        <v>0.3</v>
      </c>
      <c r="O71" s="34" t="n">
        <v>0.04</v>
      </c>
      <c r="P71" s="34" t="n">
        <v>123</v>
      </c>
      <c r="Q71" s="34" t="n">
        <v>3</v>
      </c>
      <c r="R71" s="34" t="n">
        <v>1.2</v>
      </c>
      <c r="S71" s="34" t="n">
        <v>19</v>
      </c>
      <c r="T71" s="34" t="n">
        <v>599</v>
      </c>
      <c r="U71" s="34" t="n">
        <v>1.73</v>
      </c>
      <c r="V71" s="34" t="n">
        <v>1</v>
      </c>
      <c r="W71" s="34" t="n">
        <v>0</v>
      </c>
      <c r="X71" s="34" t="n">
        <v>57.4</v>
      </c>
      <c r="Y71" s="34" t="n">
        <v>-2</v>
      </c>
      <c r="Z71" s="34" t="n">
        <v>0</v>
      </c>
      <c r="AA71" s="34" t="n">
        <v>0.1</v>
      </c>
      <c r="AB71" s="34" t="n">
        <v>0.3</v>
      </c>
      <c r="AC71" s="34" t="n">
        <v>3</v>
      </c>
      <c r="AD71" s="34" t="n">
        <v>60</v>
      </c>
      <c r="AE71" s="34" t="n">
        <v>0</v>
      </c>
      <c r="AF71" s="34" t="n">
        <v>0.47</v>
      </c>
      <c r="AG71" s="34" t="n">
        <v>0</v>
      </c>
      <c r="AH71" s="34" t="n">
        <v>811</v>
      </c>
      <c r="AI71" s="34" t="n">
        <v>731</v>
      </c>
      <c r="AJ71" s="34" t="n">
        <v>0.9</v>
      </c>
      <c r="AK71" s="34" t="n">
        <v>6</v>
      </c>
      <c r="AL71" s="34" t="n">
        <v>0.69</v>
      </c>
      <c r="AM71" s="34" t="n">
        <v>-0.7</v>
      </c>
      <c r="AN71" s="34" t="n">
        <v>2.8</v>
      </c>
      <c r="AO71" s="34" t="n">
        <v>0.64</v>
      </c>
      <c r="AP71" s="34" t="n">
        <v>368</v>
      </c>
      <c r="AQ71" s="34" t="n">
        <v>46</v>
      </c>
      <c r="AR71" s="34" t="n">
        <v>0.503</v>
      </c>
      <c r="AS71" s="34" t="n">
        <v>32</v>
      </c>
      <c r="AT71" s="34" t="n">
        <v>0.29</v>
      </c>
      <c r="AU71" s="34" t="n">
        <v>104</v>
      </c>
      <c r="AV71" s="34" t="n">
        <v>506</v>
      </c>
      <c r="AW71" s="34" t="n">
        <v>0.245</v>
      </c>
      <c r="AX71" s="34" t="n">
        <v>1</v>
      </c>
      <c r="AY71" s="34" t="n">
        <v>0.6</v>
      </c>
      <c r="AZ71" s="34" t="n">
        <v>2.8</v>
      </c>
      <c r="BA71" s="34" t="n">
        <v>1</v>
      </c>
      <c r="BB71" s="34" t="n">
        <v>0.21</v>
      </c>
      <c r="BC71" s="34" t="s">
        <v>200</v>
      </c>
      <c r="BD71" s="34" t="s">
        <v>200</v>
      </c>
      <c r="BE71" s="34" t="n">
        <v>0</v>
      </c>
      <c r="BF71" s="34" t="n">
        <v>0</v>
      </c>
      <c r="BG71" s="34" t="n">
        <v>1</v>
      </c>
      <c r="BH71" s="34" t="n">
        <v>0</v>
      </c>
      <c r="BI71" s="34" t="n">
        <v>0</v>
      </c>
      <c r="BJ71" s="34"/>
      <c r="BK71" s="34" t="n">
        <v>7</v>
      </c>
      <c r="BL71" s="34" t="n">
        <v>1</v>
      </c>
      <c r="BM71" s="34" t="s">
        <v>200</v>
      </c>
      <c r="BN71" s="34" t="n">
        <v>1</v>
      </c>
      <c r="BO71" s="34" t="n">
        <v>0</v>
      </c>
      <c r="BP71" s="34" t="n">
        <v>2</v>
      </c>
      <c r="BQ71" s="34" t="s">
        <v>212</v>
      </c>
      <c r="BR71" s="34" t="s">
        <v>200</v>
      </c>
      <c r="BS71" s="34" t="n">
        <v>0.46</v>
      </c>
      <c r="BT71" s="34" t="n">
        <v>0</v>
      </c>
      <c r="BU71" s="34" t="n">
        <v>0.13</v>
      </c>
      <c r="BV71" s="34" t="n">
        <v>0.24</v>
      </c>
      <c r="BW71" s="34" t="n">
        <v>0</v>
      </c>
      <c r="BX71" s="34" t="n">
        <v>0</v>
      </c>
      <c r="BY71" s="34" t="n">
        <v>0</v>
      </c>
      <c r="BZ71" s="34" t="s">
        <v>200</v>
      </c>
      <c r="CA71" s="34" t="s">
        <v>202</v>
      </c>
      <c r="CB71" s="34"/>
      <c r="CC71" s="34" t="n">
        <v>1.8</v>
      </c>
      <c r="CD71" s="34" t="n">
        <v>0</v>
      </c>
      <c r="CE71" s="34" t="n">
        <v>0.77</v>
      </c>
      <c r="CF71" s="34" t="n">
        <v>0</v>
      </c>
      <c r="CG71" s="34" t="n">
        <v>1</v>
      </c>
      <c r="CH71" s="34" t="n">
        <v>-35</v>
      </c>
      <c r="CI71" s="34" t="n">
        <v>2.6</v>
      </c>
      <c r="CJ71" s="34" t="n">
        <v>743</v>
      </c>
      <c r="CK71" s="34" t="n">
        <v>2</v>
      </c>
      <c r="CL71" s="34" t="n">
        <v>0.34</v>
      </c>
      <c r="CM71" s="35" t="n">
        <v>0</v>
      </c>
    </row>
    <row r="72" customFormat="false" ht="15" hidden="false" customHeight="false" outlineLevel="0" collapsed="false">
      <c r="A72" s="3" t="s">
        <v>288</v>
      </c>
      <c r="B72" s="34" t="n">
        <v>19</v>
      </c>
      <c r="C72" s="34" t="s">
        <v>210</v>
      </c>
      <c r="D72" s="34" t="s">
        <v>215</v>
      </c>
      <c r="E72" s="34" t="n">
        <v>1370</v>
      </c>
      <c r="F72" s="34" t="s">
        <v>211</v>
      </c>
      <c r="G72" s="34" t="s">
        <v>200</v>
      </c>
      <c r="H72" s="34" t="n">
        <v>14</v>
      </c>
      <c r="I72" s="34" t="n">
        <v>30</v>
      </c>
      <c r="J72" s="34" t="n">
        <v>35</v>
      </c>
      <c r="K72" s="34" t="n">
        <v>86</v>
      </c>
      <c r="L72" s="34" t="n">
        <v>17.5</v>
      </c>
      <c r="M72" s="34" t="n">
        <v>0.07</v>
      </c>
      <c r="N72" s="34" t="n">
        <v>0.46</v>
      </c>
      <c r="O72" s="34" t="n">
        <v>0.2</v>
      </c>
      <c r="P72" s="34" t="n">
        <v>83</v>
      </c>
      <c r="Q72" s="34" t="n">
        <v>3</v>
      </c>
      <c r="R72" s="34" t="n">
        <v>1</v>
      </c>
      <c r="S72" s="34" t="n">
        <v>36</v>
      </c>
      <c r="T72" s="34" t="n">
        <v>2171</v>
      </c>
      <c r="U72" s="34" t="n">
        <v>1.2</v>
      </c>
      <c r="V72" s="34" t="n">
        <v>3</v>
      </c>
      <c r="W72" s="34" t="n">
        <v>3</v>
      </c>
      <c r="X72" s="34" t="n">
        <v>16</v>
      </c>
      <c r="Y72" s="34" t="n">
        <v>13</v>
      </c>
      <c r="Z72" s="34" t="n">
        <v>1</v>
      </c>
      <c r="AA72" s="34" t="n">
        <v>0</v>
      </c>
      <c r="AB72" s="34" t="n">
        <v>0.61</v>
      </c>
      <c r="AC72" s="34" t="n">
        <v>1</v>
      </c>
      <c r="AD72" s="34" t="n">
        <v>92</v>
      </c>
      <c r="AE72" s="34" t="n">
        <v>1</v>
      </c>
      <c r="AF72" s="34" t="n">
        <v>0.57</v>
      </c>
      <c r="AG72" s="34" t="n">
        <v>1</v>
      </c>
      <c r="AH72" s="34" t="n">
        <v>1339</v>
      </c>
      <c r="AI72" s="34" t="n">
        <v>2418</v>
      </c>
      <c r="AJ72" s="34" t="n">
        <v>1.81</v>
      </c>
      <c r="AK72" s="34" t="n">
        <v>14</v>
      </c>
      <c r="AL72" s="34" t="n">
        <v>1.08</v>
      </c>
      <c r="AM72" s="34" t="n">
        <v>6</v>
      </c>
      <c r="AN72" s="34" t="n">
        <v>6.4</v>
      </c>
      <c r="AO72" s="34" t="n">
        <v>1.45</v>
      </c>
      <c r="AP72" s="34" t="n">
        <v>1323</v>
      </c>
      <c r="AQ72" s="34" t="n">
        <v>94</v>
      </c>
      <c r="AR72" s="34" t="n">
        <v>0.547</v>
      </c>
      <c r="AS72" s="34" t="n">
        <v>16</v>
      </c>
      <c r="AT72" s="34" t="n">
        <v>0.44</v>
      </c>
      <c r="AU72" s="34" t="n">
        <v>599</v>
      </c>
      <c r="AV72" s="34" t="n">
        <v>28893</v>
      </c>
      <c r="AW72" s="34" t="n">
        <v>0.22</v>
      </c>
      <c r="AX72" s="34" t="n">
        <v>2</v>
      </c>
      <c r="AY72" s="34" t="n">
        <v>0.81</v>
      </c>
      <c r="AZ72" s="34" t="n">
        <v>2</v>
      </c>
      <c r="BA72" s="34" t="n">
        <v>1.5</v>
      </c>
      <c r="BB72" s="34" t="n">
        <v>0.15</v>
      </c>
      <c r="BC72" s="34" t="s">
        <v>200</v>
      </c>
      <c r="BD72" s="34" t="s">
        <v>207</v>
      </c>
      <c r="BE72" s="34" t="n">
        <v>1</v>
      </c>
      <c r="BF72" s="34" t="n">
        <v>0</v>
      </c>
      <c r="BG72" s="34" t="n">
        <v>0</v>
      </c>
      <c r="BH72" s="34" t="n">
        <v>1</v>
      </c>
      <c r="BI72" s="34" t="n">
        <v>1</v>
      </c>
      <c r="BJ72" s="34" t="s">
        <v>289</v>
      </c>
      <c r="BK72" s="34" t="n">
        <v>3.5</v>
      </c>
      <c r="BL72" s="34" t="n">
        <v>1</v>
      </c>
      <c r="BM72" s="34" t="s">
        <v>200</v>
      </c>
      <c r="BN72" s="34" t="n">
        <v>2</v>
      </c>
      <c r="BO72" s="34" t="n">
        <v>0</v>
      </c>
      <c r="BP72" s="34" t="n">
        <v>3</v>
      </c>
      <c r="BQ72" s="34" t="s">
        <v>208</v>
      </c>
      <c r="BR72" s="34" t="s">
        <v>200</v>
      </c>
      <c r="BS72" s="34" t="n">
        <v>0.36</v>
      </c>
      <c r="BT72" s="34" t="n">
        <v>0</v>
      </c>
      <c r="BU72" s="34" t="n">
        <v>0.37</v>
      </c>
      <c r="BV72" s="34" t="n">
        <v>0.36</v>
      </c>
      <c r="BW72" s="34" t="n">
        <v>3</v>
      </c>
      <c r="BX72" s="34" t="n">
        <v>0</v>
      </c>
      <c r="BY72" s="34" t="n">
        <v>0</v>
      </c>
      <c r="BZ72" s="34" t="s">
        <v>200</v>
      </c>
      <c r="CA72" s="34" t="s">
        <v>230</v>
      </c>
      <c r="CB72" s="34"/>
      <c r="CC72" s="34" t="n">
        <v>2.2</v>
      </c>
      <c r="CD72" s="34" t="n">
        <v>0.19</v>
      </c>
      <c r="CE72" s="34" t="n">
        <v>0.76</v>
      </c>
      <c r="CF72" s="34" t="n">
        <v>0</v>
      </c>
      <c r="CG72" s="34" t="n">
        <v>1</v>
      </c>
      <c r="CH72" s="34" t="n">
        <v>28</v>
      </c>
      <c r="CI72" s="34" t="n">
        <v>9.2</v>
      </c>
      <c r="CJ72" s="34" t="n">
        <v>2419</v>
      </c>
      <c r="CK72" s="34" t="n">
        <v>6</v>
      </c>
      <c r="CL72" s="34" t="n">
        <v>0.64</v>
      </c>
      <c r="CM72" s="35" t="n">
        <v>1</v>
      </c>
    </row>
    <row r="73" customFormat="false" ht="15" hidden="false" customHeight="false" outlineLevel="0" collapsed="false">
      <c r="A73" s="3" t="s">
        <v>290</v>
      </c>
      <c r="B73" s="34" t="n">
        <v>42</v>
      </c>
      <c r="C73" s="34" t="s">
        <v>197</v>
      </c>
      <c r="D73" s="34" t="s">
        <v>215</v>
      </c>
      <c r="E73" s="34" t="n">
        <v>681</v>
      </c>
      <c r="F73" s="34" t="s">
        <v>223</v>
      </c>
      <c r="G73" s="34" t="s">
        <v>207</v>
      </c>
      <c r="H73" s="34" t="n">
        <v>13</v>
      </c>
      <c r="I73" s="34" t="n">
        <v>26</v>
      </c>
      <c r="J73" s="34" t="n">
        <v>50.6</v>
      </c>
      <c r="K73" s="34" t="n">
        <v>125</v>
      </c>
      <c r="L73" s="34" t="n">
        <v>21.9</v>
      </c>
      <c r="M73" s="34" t="n">
        <v>0.15</v>
      </c>
      <c r="N73" s="34" t="n">
        <v>0.13</v>
      </c>
      <c r="O73" s="34" t="n">
        <v>0.15</v>
      </c>
      <c r="P73" s="34" t="n">
        <v>125</v>
      </c>
      <c r="Q73" s="34" t="n">
        <v>7</v>
      </c>
      <c r="R73" s="34" t="n">
        <v>1.5</v>
      </c>
      <c r="S73" s="34" t="n">
        <v>46</v>
      </c>
      <c r="T73" s="34" t="n">
        <v>1807</v>
      </c>
      <c r="U73" s="34" t="n">
        <v>1.77</v>
      </c>
      <c r="V73" s="34" t="n">
        <v>2</v>
      </c>
      <c r="W73" s="34" t="n">
        <v>3</v>
      </c>
      <c r="X73" s="34" t="n">
        <v>18.6</v>
      </c>
      <c r="Y73" s="34" t="n">
        <v>33</v>
      </c>
      <c r="Z73" s="34" t="n">
        <v>1</v>
      </c>
      <c r="AA73" s="34" t="n">
        <v>0.18</v>
      </c>
      <c r="AB73" s="34" t="n">
        <v>0.79</v>
      </c>
      <c r="AC73" s="34" t="n">
        <v>3</v>
      </c>
      <c r="AD73" s="34" t="n">
        <v>22</v>
      </c>
      <c r="AE73" s="34" t="n">
        <v>1</v>
      </c>
      <c r="AF73" s="34" t="n">
        <v>0.25</v>
      </c>
      <c r="AG73" s="34" t="n">
        <v>1</v>
      </c>
      <c r="AH73" s="34" t="n">
        <v>2047</v>
      </c>
      <c r="AI73" s="34" t="n">
        <v>6401</v>
      </c>
      <c r="AJ73" s="34" t="n">
        <v>3.13</v>
      </c>
      <c r="AK73" s="34" t="n">
        <v>18</v>
      </c>
      <c r="AL73" s="34" t="n">
        <v>0.83</v>
      </c>
      <c r="AM73" s="34" t="n">
        <v>1.5</v>
      </c>
      <c r="AN73" s="34" t="n">
        <v>6</v>
      </c>
      <c r="AO73" s="34" t="n">
        <v>1.3</v>
      </c>
      <c r="AP73" s="34" t="n">
        <v>1463</v>
      </c>
      <c r="AQ73" s="34" t="n">
        <v>113</v>
      </c>
      <c r="AR73" s="34" t="n">
        <v>0.229</v>
      </c>
      <c r="AS73" s="34" t="n">
        <v>8</v>
      </c>
      <c r="AT73" s="34" t="n">
        <v>0.4</v>
      </c>
      <c r="AU73" s="34" t="n">
        <v>684</v>
      </c>
      <c r="AV73" s="34" t="n">
        <v>14371</v>
      </c>
      <c r="AW73" s="34" t="n">
        <v>0.975</v>
      </c>
      <c r="AX73" s="34" t="n">
        <v>2</v>
      </c>
      <c r="AY73" s="34" t="n">
        <v>0.51</v>
      </c>
      <c r="AZ73" s="34" t="n">
        <v>4</v>
      </c>
      <c r="BA73" s="34" t="n">
        <v>2.4</v>
      </c>
      <c r="BB73" s="34" t="n">
        <v>0.23</v>
      </c>
      <c r="BC73" s="34" t="s">
        <v>200</v>
      </c>
      <c r="BD73" s="34" t="s">
        <v>207</v>
      </c>
      <c r="BE73" s="34" t="n">
        <v>1</v>
      </c>
      <c r="BF73" s="34" t="n">
        <v>0</v>
      </c>
      <c r="BG73" s="34" t="n">
        <v>0</v>
      </c>
      <c r="BH73" s="34" t="n">
        <v>1</v>
      </c>
      <c r="BI73" s="34" t="n">
        <v>0</v>
      </c>
      <c r="BJ73" s="34"/>
      <c r="BK73" s="34" t="n">
        <v>1.9</v>
      </c>
      <c r="BL73" s="34" t="n">
        <v>1</v>
      </c>
      <c r="BM73" s="34" t="s">
        <v>200</v>
      </c>
      <c r="BN73" s="34" t="n">
        <v>2</v>
      </c>
      <c r="BO73" s="34" t="n">
        <v>1</v>
      </c>
      <c r="BP73" s="34" t="n">
        <v>2</v>
      </c>
      <c r="BQ73" s="34" t="s">
        <v>208</v>
      </c>
      <c r="BR73" s="34" t="s">
        <v>200</v>
      </c>
      <c r="BS73" s="34" t="n">
        <v>0.5</v>
      </c>
      <c r="BT73" s="34" t="n">
        <v>1</v>
      </c>
      <c r="BU73" s="34" t="n">
        <v>0.44</v>
      </c>
      <c r="BV73" s="34" t="n">
        <v>0.44</v>
      </c>
      <c r="BW73" s="34" t="n">
        <v>4</v>
      </c>
      <c r="BX73" s="34" t="n">
        <v>1</v>
      </c>
      <c r="BY73" s="34" t="n">
        <v>0</v>
      </c>
      <c r="BZ73" s="34" t="s">
        <v>200</v>
      </c>
      <c r="CA73" s="34" t="s">
        <v>256</v>
      </c>
      <c r="CB73" s="34"/>
      <c r="CC73" s="34" t="n">
        <v>3.2</v>
      </c>
      <c r="CD73" s="34" t="n">
        <v>0.16</v>
      </c>
      <c r="CE73" s="34" t="n">
        <v>0.47</v>
      </c>
      <c r="CF73" s="34" t="n">
        <v>0</v>
      </c>
      <c r="CG73" s="34" t="n">
        <v>2</v>
      </c>
      <c r="CH73" s="34" t="n">
        <v>48</v>
      </c>
      <c r="CI73" s="34" t="n">
        <v>7.5</v>
      </c>
      <c r="CJ73" s="34" t="n">
        <v>9409</v>
      </c>
      <c r="CK73" s="34" t="n">
        <v>6</v>
      </c>
      <c r="CL73" s="34" t="n">
        <v>0.72</v>
      </c>
      <c r="CM73" s="35" t="n">
        <v>1</v>
      </c>
    </row>
    <row r="74" customFormat="false" ht="15" hidden="false" customHeight="false" outlineLevel="0" collapsed="false">
      <c r="A74" s="3" t="s">
        <v>291</v>
      </c>
      <c r="B74" s="34" t="n">
        <v>50</v>
      </c>
      <c r="C74" s="34" t="s">
        <v>197</v>
      </c>
      <c r="D74" s="34" t="s">
        <v>215</v>
      </c>
      <c r="E74" s="34" t="n">
        <v>182</v>
      </c>
      <c r="F74" s="34" t="s">
        <v>199</v>
      </c>
      <c r="G74" s="34" t="s">
        <v>200</v>
      </c>
      <c r="H74" s="34" t="n">
        <v>8</v>
      </c>
      <c r="I74" s="34" t="n">
        <v>8</v>
      </c>
      <c r="J74" s="34" t="n">
        <v>53.1</v>
      </c>
      <c r="K74" s="34" t="n">
        <v>102</v>
      </c>
      <c r="L74" s="34" t="n">
        <v>7.1</v>
      </c>
      <c r="M74" s="34" t="n">
        <v>0.01</v>
      </c>
      <c r="N74" s="34" t="n">
        <v>0.33</v>
      </c>
      <c r="O74" s="34" t="n">
        <v>0.07</v>
      </c>
      <c r="P74" s="34" t="n">
        <v>79</v>
      </c>
      <c r="Q74" s="34" t="n">
        <v>1</v>
      </c>
      <c r="R74" s="34" t="n">
        <v>0.3</v>
      </c>
      <c r="S74" s="34" t="n">
        <v>4</v>
      </c>
      <c r="T74" s="34" t="n">
        <v>40</v>
      </c>
      <c r="U74" s="34" t="n">
        <v>0.5</v>
      </c>
      <c r="V74" s="34" t="n">
        <v>1</v>
      </c>
      <c r="W74" s="34" t="n">
        <v>0</v>
      </c>
      <c r="X74" s="34" t="n">
        <v>189</v>
      </c>
      <c r="Y74" s="34" t="n">
        <v>-53</v>
      </c>
      <c r="Z74" s="34" t="n">
        <v>0</v>
      </c>
      <c r="AA74" s="34" t="n">
        <v>0</v>
      </c>
      <c r="AB74" s="34" t="n">
        <v>0.01</v>
      </c>
      <c r="AC74" s="34" t="n">
        <v>3</v>
      </c>
      <c r="AD74" s="34" t="n">
        <v>43</v>
      </c>
      <c r="AE74" s="34" t="n">
        <v>0</v>
      </c>
      <c r="AF74" s="34" t="n">
        <v>0.69</v>
      </c>
      <c r="AG74" s="34" t="n">
        <v>0</v>
      </c>
      <c r="AH74" s="34" t="n">
        <v>183</v>
      </c>
      <c r="AI74" s="34" t="n">
        <v>37</v>
      </c>
      <c r="AJ74" s="34" t="n">
        <v>0.2</v>
      </c>
      <c r="AK74" s="34" t="n">
        <v>1</v>
      </c>
      <c r="AL74" s="34" t="n">
        <v>0.22</v>
      </c>
      <c r="AM74" s="34" t="n">
        <v>-8.8</v>
      </c>
      <c r="AN74" s="34" t="n">
        <v>2.9</v>
      </c>
      <c r="AO74" s="34" t="n">
        <v>0.69</v>
      </c>
      <c r="AP74" s="34" t="n">
        <v>21</v>
      </c>
      <c r="AQ74" s="34" t="n">
        <v>3</v>
      </c>
      <c r="AR74" s="34" t="n">
        <v>0.568</v>
      </c>
      <c r="AS74" s="34" t="n">
        <v>-32</v>
      </c>
      <c r="AT74" s="34" t="n">
        <v>0</v>
      </c>
      <c r="AU74" s="34" t="n">
        <v>6</v>
      </c>
      <c r="AV74" s="34" t="n">
        <v>71</v>
      </c>
      <c r="AW74" s="34" t="n">
        <v>0.007</v>
      </c>
      <c r="AX74" s="34" t="n">
        <v>1</v>
      </c>
      <c r="AY74" s="34" t="n">
        <v>0.24</v>
      </c>
      <c r="AZ74" s="34" t="n">
        <v>2.3</v>
      </c>
      <c r="BA74" s="34" t="n">
        <v>1</v>
      </c>
      <c r="BB74" s="34" t="n">
        <v>0.17</v>
      </c>
      <c r="BC74" s="34" t="s">
        <v>200</v>
      </c>
      <c r="BD74" s="34" t="s">
        <v>200</v>
      </c>
      <c r="BE74" s="34" t="n">
        <v>0</v>
      </c>
      <c r="BF74" s="34" t="n">
        <v>0</v>
      </c>
      <c r="BG74" s="34" t="n">
        <v>1</v>
      </c>
      <c r="BH74" s="34" t="n">
        <v>0</v>
      </c>
      <c r="BI74" s="34" t="n">
        <v>0</v>
      </c>
      <c r="BJ74" s="34"/>
      <c r="BK74" s="34" t="n">
        <v>6.4</v>
      </c>
      <c r="BL74" s="34" t="n">
        <v>1</v>
      </c>
      <c r="BM74" s="34" t="s">
        <v>200</v>
      </c>
      <c r="BN74" s="34" t="n">
        <v>1</v>
      </c>
      <c r="BO74" s="34" t="n">
        <v>0</v>
      </c>
      <c r="BP74" s="34" t="n">
        <v>1</v>
      </c>
      <c r="BQ74" s="34" t="s">
        <v>212</v>
      </c>
      <c r="BR74" s="34" t="s">
        <v>200</v>
      </c>
      <c r="BS74" s="34" t="n">
        <v>0.34</v>
      </c>
      <c r="BT74" s="34" t="n">
        <v>1</v>
      </c>
      <c r="BU74" s="34" t="n">
        <v>0.11</v>
      </c>
      <c r="BV74" s="34" t="n">
        <v>0.04</v>
      </c>
      <c r="BW74" s="34" t="n">
        <v>0</v>
      </c>
      <c r="BX74" s="34" t="n">
        <v>0</v>
      </c>
      <c r="BY74" s="34" t="n">
        <v>0</v>
      </c>
      <c r="BZ74" s="34" t="s">
        <v>200</v>
      </c>
      <c r="CA74" s="34" t="s">
        <v>202</v>
      </c>
      <c r="CB74" s="34"/>
      <c r="CC74" s="34" t="n">
        <v>0</v>
      </c>
      <c r="CD74" s="34" t="n">
        <v>0.05</v>
      </c>
      <c r="CE74" s="34" t="n">
        <v>0.35</v>
      </c>
      <c r="CF74" s="34" t="n">
        <v>0</v>
      </c>
      <c r="CG74" s="34" t="n">
        <v>1</v>
      </c>
      <c r="CH74" s="34" t="n">
        <v>-19</v>
      </c>
      <c r="CI74" s="34" t="n">
        <v>-6.4</v>
      </c>
      <c r="CJ74" s="34" t="n">
        <v>20</v>
      </c>
      <c r="CK74" s="34" t="n">
        <v>6</v>
      </c>
      <c r="CL74" s="34" t="n">
        <v>0.16</v>
      </c>
      <c r="CM74" s="35" t="n">
        <v>0</v>
      </c>
    </row>
    <row r="75" customFormat="false" ht="15" hidden="false" customHeight="false" outlineLevel="0" collapsed="false">
      <c r="A75" s="3" t="s">
        <v>292</v>
      </c>
      <c r="B75" s="34" t="n">
        <v>47</v>
      </c>
      <c r="C75" s="34" t="s">
        <v>197</v>
      </c>
      <c r="D75" s="34" t="s">
        <v>227</v>
      </c>
      <c r="E75" s="34" t="n">
        <v>948</v>
      </c>
      <c r="F75" s="34" t="s">
        <v>223</v>
      </c>
      <c r="G75" s="34" t="s">
        <v>200</v>
      </c>
      <c r="H75" s="34" t="n">
        <v>7</v>
      </c>
      <c r="I75" s="34" t="n">
        <v>13</v>
      </c>
      <c r="J75" s="34" t="n">
        <v>31</v>
      </c>
      <c r="K75" s="34" t="n">
        <v>55</v>
      </c>
      <c r="L75" s="34" t="n">
        <v>6.7</v>
      </c>
      <c r="M75" s="34" t="n">
        <v>0.12</v>
      </c>
      <c r="N75" s="34" t="n">
        <v>0.21</v>
      </c>
      <c r="O75" s="34" t="n">
        <v>0.1</v>
      </c>
      <c r="P75" s="34" t="n">
        <v>48</v>
      </c>
      <c r="Q75" s="34" t="n">
        <v>1</v>
      </c>
      <c r="R75" s="34" t="n">
        <v>1</v>
      </c>
      <c r="S75" s="34" t="n">
        <v>16</v>
      </c>
      <c r="T75" s="34" t="n">
        <v>433</v>
      </c>
      <c r="U75" s="34" t="n">
        <v>1.23</v>
      </c>
      <c r="V75" s="34" t="n">
        <v>1</v>
      </c>
      <c r="W75" s="34" t="n">
        <v>1</v>
      </c>
      <c r="X75" s="34" t="n">
        <v>35.1</v>
      </c>
      <c r="Y75" s="34" t="n">
        <v>-8</v>
      </c>
      <c r="Z75" s="34" t="n">
        <v>0</v>
      </c>
      <c r="AA75" s="34" t="n">
        <v>0.21</v>
      </c>
      <c r="AB75" s="34" t="n">
        <v>0.01</v>
      </c>
      <c r="AC75" s="34" t="n">
        <v>4</v>
      </c>
      <c r="AD75" s="34" t="n">
        <v>101</v>
      </c>
      <c r="AE75" s="34" t="n">
        <v>0</v>
      </c>
      <c r="AF75" s="34" t="n">
        <v>0.67</v>
      </c>
      <c r="AG75" s="34" t="n">
        <v>0</v>
      </c>
      <c r="AH75" s="34" t="n">
        <v>391</v>
      </c>
      <c r="AI75" s="34" t="n">
        <v>185</v>
      </c>
      <c r="AJ75" s="34" t="n">
        <v>0.47</v>
      </c>
      <c r="AK75" s="34" t="n">
        <v>3</v>
      </c>
      <c r="AL75" s="34" t="n">
        <v>0.1</v>
      </c>
      <c r="AM75" s="34" t="n">
        <v>-6.4</v>
      </c>
      <c r="AN75" s="34" t="n">
        <v>4.6</v>
      </c>
      <c r="AO75" s="34" t="n">
        <v>0.81</v>
      </c>
      <c r="AP75" s="34" t="n">
        <v>173</v>
      </c>
      <c r="AQ75" s="34" t="n">
        <v>25</v>
      </c>
      <c r="AR75" s="34" t="n">
        <v>0.935</v>
      </c>
      <c r="AS75" s="34" t="n">
        <v>-51</v>
      </c>
      <c r="AT75" s="34" t="n">
        <v>0.09</v>
      </c>
      <c r="AU75" s="34" t="n">
        <v>25</v>
      </c>
      <c r="AV75" s="34" t="n">
        <v>2230</v>
      </c>
      <c r="AW75" s="34" t="n">
        <v>0.115</v>
      </c>
      <c r="AX75" s="34" t="n">
        <v>2</v>
      </c>
      <c r="AY75" s="34" t="n">
        <v>0.42</v>
      </c>
      <c r="AZ75" s="34" t="n">
        <v>2.7</v>
      </c>
      <c r="BA75" s="34" t="n">
        <v>1.7</v>
      </c>
      <c r="BB75" s="34" t="n">
        <v>0.14</v>
      </c>
      <c r="BC75" s="34" t="s">
        <v>200</v>
      </c>
      <c r="BD75" s="34" t="s">
        <v>207</v>
      </c>
      <c r="BE75" s="34" t="n">
        <v>0</v>
      </c>
      <c r="BF75" s="34" t="n">
        <v>0</v>
      </c>
      <c r="BG75" s="34" t="n">
        <v>0</v>
      </c>
      <c r="BH75" s="34" t="n">
        <v>0</v>
      </c>
      <c r="BI75" s="34" t="n">
        <v>0</v>
      </c>
      <c r="BJ75" s="34"/>
      <c r="BK75" s="34" t="n">
        <v>7.3</v>
      </c>
      <c r="BL75" s="34" t="n">
        <v>1</v>
      </c>
      <c r="BM75" s="34" t="s">
        <v>200</v>
      </c>
      <c r="BN75" s="34" t="n">
        <v>2</v>
      </c>
      <c r="BO75" s="34" t="n">
        <v>0</v>
      </c>
      <c r="BP75" s="34" t="n">
        <v>2</v>
      </c>
      <c r="BQ75" s="34" t="s">
        <v>201</v>
      </c>
      <c r="BR75" s="34" t="s">
        <v>200</v>
      </c>
      <c r="BS75" s="34" t="n">
        <v>0.07</v>
      </c>
      <c r="BT75" s="34" t="n">
        <v>0</v>
      </c>
      <c r="BU75" s="34" t="n">
        <v>0.25</v>
      </c>
      <c r="BV75" s="34" t="n">
        <v>0.15</v>
      </c>
      <c r="BW75" s="34" t="n">
        <v>1</v>
      </c>
      <c r="BX75" s="34" t="n">
        <v>0</v>
      </c>
      <c r="BY75" s="34" t="n">
        <v>0</v>
      </c>
      <c r="BZ75" s="34" t="s">
        <v>200</v>
      </c>
      <c r="CA75" s="34" t="s">
        <v>202</v>
      </c>
      <c r="CB75" s="34" t="n">
        <v>2</v>
      </c>
      <c r="CC75" s="34" t="n">
        <v>1</v>
      </c>
      <c r="CD75" s="34" t="n">
        <v>0.09</v>
      </c>
      <c r="CE75" s="34" t="n">
        <v>0.47</v>
      </c>
      <c r="CF75" s="34" t="n">
        <v>0</v>
      </c>
      <c r="CG75" s="34" t="n">
        <v>1</v>
      </c>
      <c r="CH75" s="34" t="n">
        <v>-15</v>
      </c>
      <c r="CI75" s="34" t="n">
        <v>-5.4</v>
      </c>
      <c r="CJ75" s="34" t="n">
        <v>218</v>
      </c>
      <c r="CK75" s="34" t="n">
        <v>6</v>
      </c>
      <c r="CL75" s="34" t="n">
        <v>0.19</v>
      </c>
      <c r="CM75" s="35" t="n">
        <v>0</v>
      </c>
    </row>
    <row r="76" customFormat="false" ht="15" hidden="false" customHeight="false" outlineLevel="0" collapsed="false">
      <c r="A76" s="3" t="s">
        <v>293</v>
      </c>
      <c r="B76" s="34" t="n">
        <v>31</v>
      </c>
      <c r="C76" s="34" t="s">
        <v>210</v>
      </c>
      <c r="D76" s="34" t="s">
        <v>227</v>
      </c>
      <c r="E76" s="34" t="n">
        <v>107</v>
      </c>
      <c r="F76" s="34" t="s">
        <v>199</v>
      </c>
      <c r="G76" s="34" t="s">
        <v>200</v>
      </c>
      <c r="H76" s="34" t="n">
        <v>12</v>
      </c>
      <c r="I76" s="34" t="n">
        <v>15</v>
      </c>
      <c r="J76" s="34" t="n">
        <v>27.2</v>
      </c>
      <c r="K76" s="34" t="n">
        <v>73</v>
      </c>
      <c r="L76" s="34" t="n">
        <v>6.8</v>
      </c>
      <c r="M76" s="34" t="n">
        <v>0.24</v>
      </c>
      <c r="N76" s="34" t="n">
        <v>0.32</v>
      </c>
      <c r="O76" s="34" t="n">
        <v>0.3</v>
      </c>
      <c r="P76" s="34" t="n">
        <v>73</v>
      </c>
      <c r="Q76" s="34" t="n">
        <v>7</v>
      </c>
      <c r="R76" s="34" t="n">
        <v>0.7</v>
      </c>
      <c r="S76" s="34" t="n">
        <v>19</v>
      </c>
      <c r="T76" s="34" t="n">
        <v>729</v>
      </c>
      <c r="U76" s="34" t="n">
        <v>1.27</v>
      </c>
      <c r="V76" s="34" t="n">
        <v>1</v>
      </c>
      <c r="W76" s="34" t="n">
        <v>3</v>
      </c>
      <c r="X76" s="34" t="n">
        <v>35.8</v>
      </c>
      <c r="Y76" s="34" t="n">
        <v>35</v>
      </c>
      <c r="Z76" s="34" t="n">
        <v>0</v>
      </c>
      <c r="AA76" s="34" t="n">
        <v>0.19</v>
      </c>
      <c r="AB76" s="34" t="n">
        <v>0.73</v>
      </c>
      <c r="AC76" s="34" t="n">
        <v>2</v>
      </c>
      <c r="AD76" s="34" t="n">
        <v>116</v>
      </c>
      <c r="AE76" s="34" t="n">
        <v>1</v>
      </c>
      <c r="AF76" s="34" t="n">
        <v>0.45</v>
      </c>
      <c r="AG76" s="34" t="n">
        <v>1</v>
      </c>
      <c r="AH76" s="34" t="n">
        <v>902</v>
      </c>
      <c r="AI76" s="34" t="n">
        <v>1580</v>
      </c>
      <c r="AJ76" s="34" t="n">
        <v>1.75</v>
      </c>
      <c r="AK76" s="34" t="n">
        <v>13</v>
      </c>
      <c r="AL76" s="34" t="n">
        <v>0.74</v>
      </c>
      <c r="AM76" s="34" t="n">
        <v>5.7</v>
      </c>
      <c r="AN76" s="34" t="n">
        <v>5.7</v>
      </c>
      <c r="AO76" s="34" t="n">
        <v>1.26</v>
      </c>
      <c r="AP76" s="34" t="n">
        <v>473</v>
      </c>
      <c r="AQ76" s="34" t="n">
        <v>39</v>
      </c>
      <c r="AR76" s="34" t="n">
        <v>0.299</v>
      </c>
      <c r="AS76" s="34" t="n">
        <v>21</v>
      </c>
      <c r="AT76" s="34" t="n">
        <v>0.33</v>
      </c>
      <c r="AU76" s="34" t="n">
        <v>219</v>
      </c>
      <c r="AV76" s="34" t="n">
        <v>959</v>
      </c>
      <c r="AW76" s="34" t="n">
        <v>0.158</v>
      </c>
      <c r="AX76" s="34" t="n">
        <v>1</v>
      </c>
      <c r="AY76" s="34" t="n">
        <v>0.24</v>
      </c>
      <c r="AZ76" s="34" t="n">
        <v>3.8</v>
      </c>
      <c r="BA76" s="34" t="n">
        <v>3.4</v>
      </c>
      <c r="BB76" s="34" t="n">
        <v>0.54</v>
      </c>
      <c r="BC76" s="34" t="s">
        <v>207</v>
      </c>
      <c r="BD76" s="34" t="s">
        <v>207</v>
      </c>
      <c r="BE76" s="34" t="n">
        <v>1</v>
      </c>
      <c r="BF76" s="34" t="n">
        <v>0</v>
      </c>
      <c r="BG76" s="34" t="n">
        <v>0</v>
      </c>
      <c r="BH76" s="34" t="n">
        <v>0</v>
      </c>
      <c r="BI76" s="34" t="n">
        <v>0</v>
      </c>
      <c r="BJ76" s="34"/>
      <c r="BK76" s="34" t="n">
        <v>0.9</v>
      </c>
      <c r="BL76" s="34" t="n">
        <v>1</v>
      </c>
      <c r="BM76" s="34" t="s">
        <v>200</v>
      </c>
      <c r="BN76" s="34" t="n">
        <v>2</v>
      </c>
      <c r="BO76" s="34" t="n">
        <v>1</v>
      </c>
      <c r="BP76" s="34" t="n">
        <v>1</v>
      </c>
      <c r="BQ76" s="34" t="s">
        <v>201</v>
      </c>
      <c r="BR76" s="34" t="s">
        <v>200</v>
      </c>
      <c r="BS76" s="34" t="n">
        <v>0.32</v>
      </c>
      <c r="BT76" s="34" t="n">
        <v>0</v>
      </c>
      <c r="BU76" s="34" t="n">
        <v>0.2</v>
      </c>
      <c r="BV76" s="34" t="n">
        <v>0.34</v>
      </c>
      <c r="BW76" s="34" t="n">
        <v>2</v>
      </c>
      <c r="BX76" s="34" t="n">
        <v>0</v>
      </c>
      <c r="BY76" s="34" t="n">
        <v>0</v>
      </c>
      <c r="BZ76" s="34" t="s">
        <v>200</v>
      </c>
      <c r="CA76" s="34" t="s">
        <v>256</v>
      </c>
      <c r="CB76" s="34"/>
      <c r="CC76" s="34" t="n">
        <v>1.2</v>
      </c>
      <c r="CD76" s="34" t="n">
        <v>0.11</v>
      </c>
      <c r="CE76" s="34" t="n">
        <v>0.67</v>
      </c>
      <c r="CF76" s="34" t="n">
        <v>1</v>
      </c>
      <c r="CG76" s="34" t="n">
        <v>1</v>
      </c>
      <c r="CH76" s="34" t="n">
        <v>28</v>
      </c>
      <c r="CI76" s="34" t="n">
        <v>-2</v>
      </c>
      <c r="CJ76" s="34" t="n">
        <v>2247</v>
      </c>
      <c r="CK76" s="34" t="n">
        <v>3</v>
      </c>
      <c r="CL76" s="34" t="n">
        <v>0.44</v>
      </c>
      <c r="CM76" s="35" t="n">
        <v>0</v>
      </c>
    </row>
    <row r="77" customFormat="false" ht="15" hidden="false" customHeight="false" outlineLevel="0" collapsed="false">
      <c r="A77" s="3" t="s">
        <v>294</v>
      </c>
      <c r="B77" s="34" t="n">
        <v>59</v>
      </c>
      <c r="C77" s="34" t="s">
        <v>197</v>
      </c>
      <c r="D77" s="34" t="s">
        <v>215</v>
      </c>
      <c r="E77" s="34" t="n">
        <v>828</v>
      </c>
      <c r="F77" s="34" t="s">
        <v>211</v>
      </c>
      <c r="G77" s="34" t="s">
        <v>200</v>
      </c>
      <c r="H77" s="34" t="n">
        <v>2</v>
      </c>
      <c r="I77" s="34" t="n">
        <v>2</v>
      </c>
      <c r="J77" s="34" t="n">
        <v>50.2</v>
      </c>
      <c r="K77" s="34" t="n">
        <v>92</v>
      </c>
      <c r="L77" s="34" t="n">
        <v>1.7</v>
      </c>
      <c r="M77" s="34" t="n">
        <v>0</v>
      </c>
      <c r="N77" s="34" t="n">
        <v>0.38</v>
      </c>
      <c r="O77" s="34" t="n">
        <v>0.13</v>
      </c>
      <c r="P77" s="34" t="n">
        <v>62</v>
      </c>
      <c r="Q77" s="34" t="n">
        <v>1</v>
      </c>
      <c r="R77" s="34" t="n">
        <v>1.1</v>
      </c>
      <c r="S77" s="34" t="n">
        <v>1</v>
      </c>
      <c r="T77" s="34" t="n">
        <v>10</v>
      </c>
      <c r="U77" s="34" t="n">
        <v>0.5</v>
      </c>
      <c r="V77" s="34" t="n">
        <v>2</v>
      </c>
      <c r="W77" s="34" t="n">
        <v>1</v>
      </c>
      <c r="X77" s="34" t="n">
        <v>686.5</v>
      </c>
      <c r="Y77" s="34" t="n">
        <v>-49</v>
      </c>
      <c r="Z77" s="34" t="n">
        <v>0</v>
      </c>
      <c r="AA77" s="34" t="n">
        <v>0</v>
      </c>
      <c r="AB77" s="34" t="n">
        <v>0.22</v>
      </c>
      <c r="AC77" s="34" t="n">
        <v>4</v>
      </c>
      <c r="AD77" s="34" t="n">
        <v>34</v>
      </c>
      <c r="AE77" s="34" t="n">
        <v>0</v>
      </c>
      <c r="AF77" s="34" t="n">
        <v>1.11</v>
      </c>
      <c r="AG77" s="34" t="n">
        <v>0</v>
      </c>
      <c r="AH77" s="34" t="n">
        <v>10</v>
      </c>
      <c r="AI77" s="34" t="n">
        <v>2</v>
      </c>
      <c r="AJ77" s="34" t="n">
        <v>0.2</v>
      </c>
      <c r="AK77" s="34" t="n">
        <v>2</v>
      </c>
      <c r="AL77" s="34" t="n">
        <v>0.1</v>
      </c>
      <c r="AM77" s="34" t="n">
        <v>-17.2</v>
      </c>
      <c r="AN77" s="34" t="n">
        <v>1.8</v>
      </c>
      <c r="AO77" s="34" t="n">
        <v>0.58</v>
      </c>
      <c r="AP77" s="34" t="n">
        <v>1</v>
      </c>
      <c r="AQ77" s="34" t="n">
        <v>0</v>
      </c>
      <c r="AR77" s="34" t="n">
        <v>0.5</v>
      </c>
      <c r="AS77" s="34" t="n">
        <v>-38</v>
      </c>
      <c r="AT77" s="34" t="n">
        <v>0</v>
      </c>
      <c r="AU77" s="34" t="n">
        <v>0</v>
      </c>
      <c r="AV77" s="34" t="n">
        <v>20</v>
      </c>
      <c r="AW77" s="34" t="n">
        <v>0</v>
      </c>
      <c r="AX77" s="34" t="n">
        <v>1</v>
      </c>
      <c r="AY77" s="34" t="n">
        <v>0.12</v>
      </c>
      <c r="AZ77" s="34" t="n">
        <v>1.7</v>
      </c>
      <c r="BA77" s="34" t="n">
        <v>1</v>
      </c>
      <c r="BB77" s="34" t="n">
        <v>0</v>
      </c>
      <c r="BC77" s="34" t="s">
        <v>200</v>
      </c>
      <c r="BD77" s="34" t="s">
        <v>200</v>
      </c>
      <c r="BE77" s="34" t="n">
        <v>0</v>
      </c>
      <c r="BF77" s="34" t="n">
        <v>0</v>
      </c>
      <c r="BG77" s="34" t="n">
        <v>0</v>
      </c>
      <c r="BH77" s="34" t="n">
        <v>0</v>
      </c>
      <c r="BI77" s="34" t="n">
        <v>0</v>
      </c>
      <c r="BJ77" s="34"/>
      <c r="BK77" s="34" t="n">
        <v>9.1</v>
      </c>
      <c r="BL77" s="34" t="n">
        <v>0</v>
      </c>
      <c r="BM77" s="34" t="s">
        <v>200</v>
      </c>
      <c r="BN77" s="34" t="n">
        <v>1</v>
      </c>
      <c r="BO77" s="34" t="n">
        <v>0</v>
      </c>
      <c r="BP77" s="34" t="n">
        <v>2</v>
      </c>
      <c r="BQ77" s="34" t="s">
        <v>201</v>
      </c>
      <c r="BR77" s="34" t="s">
        <v>200</v>
      </c>
      <c r="BS77" s="34" t="n">
        <v>0</v>
      </c>
      <c r="BT77" s="34" t="n">
        <v>0</v>
      </c>
      <c r="BU77" s="34" t="n">
        <v>0.09</v>
      </c>
      <c r="BV77" s="34" t="n">
        <v>0.06</v>
      </c>
      <c r="BW77" s="34" t="n">
        <v>0</v>
      </c>
      <c r="BX77" s="34" t="n">
        <v>0</v>
      </c>
      <c r="BY77" s="34" t="n">
        <v>0</v>
      </c>
      <c r="BZ77" s="34" t="s">
        <v>200</v>
      </c>
      <c r="CA77" s="34" t="s">
        <v>202</v>
      </c>
      <c r="CB77" s="34"/>
      <c r="CC77" s="34" t="n">
        <v>0</v>
      </c>
      <c r="CD77" s="34" t="n">
        <v>0</v>
      </c>
      <c r="CE77" s="34" t="n">
        <v>0.59</v>
      </c>
      <c r="CF77" s="34" t="n">
        <v>0</v>
      </c>
      <c r="CG77" s="34" t="n">
        <v>1</v>
      </c>
      <c r="CH77" s="34" t="n">
        <v>-64</v>
      </c>
      <c r="CI77" s="34" t="n">
        <v>-10.5</v>
      </c>
      <c r="CJ77" s="34" t="n">
        <v>0</v>
      </c>
      <c r="CK77" s="34" t="n">
        <v>6</v>
      </c>
      <c r="CL77" s="34" t="n">
        <v>0.05</v>
      </c>
      <c r="CM77" s="35" t="n">
        <v>0</v>
      </c>
    </row>
    <row r="78" customFormat="false" ht="15" hidden="false" customHeight="false" outlineLevel="0" collapsed="false">
      <c r="A78" s="3" t="s">
        <v>295</v>
      </c>
      <c r="B78" s="34" t="n">
        <v>39</v>
      </c>
      <c r="C78" s="34" t="s">
        <v>210</v>
      </c>
      <c r="D78" s="34" t="s">
        <v>227</v>
      </c>
      <c r="E78" s="34" t="n">
        <v>1143</v>
      </c>
      <c r="F78" s="34" t="s">
        <v>199</v>
      </c>
      <c r="G78" s="34" t="s">
        <v>200</v>
      </c>
      <c r="H78" s="34" t="n">
        <v>1</v>
      </c>
      <c r="I78" s="34" t="n">
        <v>1</v>
      </c>
      <c r="J78" s="34" t="n">
        <v>38</v>
      </c>
      <c r="K78" s="34" t="n">
        <v>69</v>
      </c>
      <c r="L78" s="34" t="n">
        <v>0.6</v>
      </c>
      <c r="M78" s="34" t="n">
        <v>0.07</v>
      </c>
      <c r="N78" s="34" t="n">
        <v>0.29</v>
      </c>
      <c r="O78" s="34" t="n">
        <v>0.12</v>
      </c>
      <c r="P78" s="34" t="n">
        <v>63</v>
      </c>
      <c r="Q78" s="34" t="n">
        <v>1</v>
      </c>
      <c r="R78" s="34" t="n">
        <v>0.1</v>
      </c>
      <c r="S78" s="34" t="n">
        <v>1</v>
      </c>
      <c r="T78" s="34" t="n">
        <v>21</v>
      </c>
      <c r="U78" s="34" t="n">
        <v>1</v>
      </c>
      <c r="V78" s="34" t="n">
        <v>1</v>
      </c>
      <c r="W78" s="34" t="n">
        <v>1</v>
      </c>
      <c r="X78" s="34" t="n">
        <v>620.5</v>
      </c>
      <c r="Y78" s="34" t="n">
        <v>-21</v>
      </c>
      <c r="Z78" s="34" t="n">
        <v>0</v>
      </c>
      <c r="AA78" s="34" t="n">
        <v>0.07</v>
      </c>
      <c r="AB78" s="34" t="n">
        <v>0.38</v>
      </c>
      <c r="AC78" s="34" t="n">
        <v>4</v>
      </c>
      <c r="AD78" s="34" t="n">
        <v>0</v>
      </c>
      <c r="AE78" s="34" t="n">
        <v>0</v>
      </c>
      <c r="AF78" s="34" t="n">
        <v>0.79</v>
      </c>
      <c r="AG78" s="34" t="n">
        <v>1</v>
      </c>
      <c r="AH78" s="34" t="n">
        <v>55</v>
      </c>
      <c r="AI78" s="34" t="n">
        <v>53</v>
      </c>
      <c r="AJ78" s="34" t="n">
        <v>0.96</v>
      </c>
      <c r="AK78" s="34" t="n">
        <v>5</v>
      </c>
      <c r="AL78" s="34" t="n">
        <v>0.16</v>
      </c>
      <c r="AM78" s="34" t="n">
        <v>-0.5</v>
      </c>
      <c r="AN78" s="34" t="n">
        <v>2.4</v>
      </c>
      <c r="AO78" s="34" t="n">
        <v>0.65</v>
      </c>
      <c r="AP78" s="34" t="n">
        <v>9</v>
      </c>
      <c r="AQ78" s="34" t="n">
        <v>9</v>
      </c>
      <c r="AR78" s="34" t="n">
        <v>0.17</v>
      </c>
      <c r="AS78" s="34" t="n">
        <v>-12</v>
      </c>
      <c r="AT78" s="34" t="n">
        <v>0.12</v>
      </c>
      <c r="AU78" s="34" t="n">
        <v>4</v>
      </c>
      <c r="AV78" s="34" t="n">
        <v>227</v>
      </c>
      <c r="AW78" s="34" t="n">
        <v>0.003</v>
      </c>
      <c r="AX78" s="34" t="n">
        <v>1</v>
      </c>
      <c r="AY78" s="34" t="n">
        <v>0.74</v>
      </c>
      <c r="AZ78" s="34" t="n">
        <v>2.4</v>
      </c>
      <c r="BA78" s="34" t="n">
        <v>1</v>
      </c>
      <c r="BB78" s="34" t="n">
        <v>0</v>
      </c>
      <c r="BC78" s="34" t="s">
        <v>200</v>
      </c>
      <c r="BD78" s="34" t="s">
        <v>207</v>
      </c>
      <c r="BE78" s="34" t="n">
        <v>0</v>
      </c>
      <c r="BF78" s="34" t="n">
        <v>0</v>
      </c>
      <c r="BG78" s="34" t="n">
        <v>0</v>
      </c>
      <c r="BH78" s="34" t="n">
        <v>0</v>
      </c>
      <c r="BI78" s="34" t="n">
        <v>0</v>
      </c>
      <c r="BJ78" s="34"/>
      <c r="BK78" s="34" t="n">
        <v>6.7</v>
      </c>
      <c r="BL78" s="34" t="n">
        <v>0</v>
      </c>
      <c r="BM78" s="34" t="s">
        <v>200</v>
      </c>
      <c r="BN78" s="34" t="n">
        <v>1</v>
      </c>
      <c r="BO78" s="34" t="n">
        <v>1</v>
      </c>
      <c r="BP78" s="34" t="n">
        <v>1</v>
      </c>
      <c r="BQ78" s="34" t="s">
        <v>208</v>
      </c>
      <c r="BR78" s="34" t="s">
        <v>200</v>
      </c>
      <c r="BS78" s="34" t="n">
        <v>0.41</v>
      </c>
      <c r="BT78" s="34" t="n">
        <v>0</v>
      </c>
      <c r="BU78" s="34" t="n">
        <v>0.18</v>
      </c>
      <c r="BV78" s="34" t="n">
        <v>0.11</v>
      </c>
      <c r="BW78" s="34" t="n">
        <v>1</v>
      </c>
      <c r="BX78" s="34" t="n">
        <v>0</v>
      </c>
      <c r="BY78" s="34" t="n">
        <v>0</v>
      </c>
      <c r="BZ78" s="34" t="s">
        <v>200</v>
      </c>
      <c r="CA78" s="34" t="s">
        <v>204</v>
      </c>
      <c r="CB78" s="34"/>
      <c r="CC78" s="34" t="n">
        <v>0.7</v>
      </c>
      <c r="CD78" s="34" t="n">
        <v>0.09</v>
      </c>
      <c r="CE78" s="34" t="n">
        <v>0.54</v>
      </c>
      <c r="CF78" s="34" t="n">
        <v>1</v>
      </c>
      <c r="CG78" s="34" t="n">
        <v>1</v>
      </c>
      <c r="CH78" s="34" t="n">
        <v>-14</v>
      </c>
      <c r="CI78" s="34" t="n">
        <v>2.6</v>
      </c>
      <c r="CJ78" s="34" t="n">
        <v>38</v>
      </c>
      <c r="CK78" s="34" t="n">
        <v>6</v>
      </c>
      <c r="CL78" s="34" t="n">
        <v>0.24</v>
      </c>
      <c r="CM78" s="35" t="n">
        <v>0</v>
      </c>
    </row>
    <row r="79" customFormat="false" ht="15" hidden="false" customHeight="false" outlineLevel="0" collapsed="false">
      <c r="A79" s="3" t="s">
        <v>296</v>
      </c>
      <c r="B79" s="34" t="n">
        <v>41</v>
      </c>
      <c r="C79" s="34" t="s">
        <v>197</v>
      </c>
      <c r="D79" s="34" t="s">
        <v>215</v>
      </c>
      <c r="E79" s="34" t="n">
        <v>115</v>
      </c>
      <c r="F79" s="34" t="s">
        <v>223</v>
      </c>
      <c r="G79" s="34" t="s">
        <v>200</v>
      </c>
      <c r="H79" s="34" t="n">
        <v>7</v>
      </c>
      <c r="I79" s="34" t="n">
        <v>14</v>
      </c>
      <c r="J79" s="34" t="n">
        <v>36.1</v>
      </c>
      <c r="K79" s="34" t="n">
        <v>55</v>
      </c>
      <c r="L79" s="34" t="n">
        <v>8.4</v>
      </c>
      <c r="M79" s="34" t="n">
        <v>0.05</v>
      </c>
      <c r="N79" s="34" t="n">
        <v>0.38</v>
      </c>
      <c r="O79" s="34" t="n">
        <v>0.22</v>
      </c>
      <c r="P79" s="34" t="n">
        <v>53</v>
      </c>
      <c r="Q79" s="34" t="n">
        <v>5</v>
      </c>
      <c r="R79" s="34" t="n">
        <v>1.2</v>
      </c>
      <c r="S79" s="34" t="n">
        <v>21</v>
      </c>
      <c r="T79" s="34" t="n">
        <v>1651</v>
      </c>
      <c r="U79" s="34" t="n">
        <v>1.5</v>
      </c>
      <c r="V79" s="34" t="n">
        <v>1</v>
      </c>
      <c r="W79" s="34" t="n">
        <v>1</v>
      </c>
      <c r="X79" s="34" t="n">
        <v>47.5</v>
      </c>
      <c r="Y79" s="34" t="n">
        <v>-80</v>
      </c>
      <c r="Z79" s="34" t="n">
        <v>0</v>
      </c>
      <c r="AA79" s="34" t="n">
        <v>0.04</v>
      </c>
      <c r="AB79" s="34" t="n">
        <v>0.26</v>
      </c>
      <c r="AC79" s="34" t="n">
        <v>2</v>
      </c>
      <c r="AD79" s="34" t="n">
        <v>3</v>
      </c>
      <c r="AE79" s="34" t="n">
        <v>0</v>
      </c>
      <c r="AF79" s="34" t="n">
        <v>0.62</v>
      </c>
      <c r="AG79" s="34" t="n">
        <v>1</v>
      </c>
      <c r="AH79" s="34" t="n">
        <v>662</v>
      </c>
      <c r="AI79" s="34" t="n">
        <v>1165</v>
      </c>
      <c r="AJ79" s="34" t="n">
        <v>1.76</v>
      </c>
      <c r="AK79" s="34" t="n">
        <v>11</v>
      </c>
      <c r="AL79" s="34" t="n">
        <v>0.62</v>
      </c>
      <c r="AM79" s="34" t="n">
        <v>2</v>
      </c>
      <c r="AN79" s="34" t="n">
        <v>3.2</v>
      </c>
      <c r="AO79" s="34" t="n">
        <v>1.14</v>
      </c>
      <c r="AP79" s="34" t="n">
        <v>888</v>
      </c>
      <c r="AQ79" s="34" t="n">
        <v>127</v>
      </c>
      <c r="AR79" s="34" t="n">
        <v>0.762</v>
      </c>
      <c r="AS79" s="34" t="n">
        <v>16</v>
      </c>
      <c r="AT79" s="34" t="n">
        <v>0.21</v>
      </c>
      <c r="AU79" s="34" t="n">
        <v>89</v>
      </c>
      <c r="AV79" s="34" t="n">
        <v>1412</v>
      </c>
      <c r="AW79" s="34" t="n">
        <v>0.592</v>
      </c>
      <c r="AX79" s="34" t="n">
        <v>1</v>
      </c>
      <c r="AY79" s="34" t="n">
        <v>0.91</v>
      </c>
      <c r="AZ79" s="34" t="n">
        <v>3.2</v>
      </c>
      <c r="BA79" s="34" t="n">
        <v>2.7</v>
      </c>
      <c r="BB79" s="34" t="n">
        <v>0.14</v>
      </c>
      <c r="BC79" s="34" t="s">
        <v>200</v>
      </c>
      <c r="BD79" s="34" t="s">
        <v>207</v>
      </c>
      <c r="BE79" s="34" t="n">
        <v>0</v>
      </c>
      <c r="BF79" s="34" t="n">
        <v>0</v>
      </c>
      <c r="BG79" s="34" t="n">
        <v>0</v>
      </c>
      <c r="BH79" s="34" t="n">
        <v>1</v>
      </c>
      <c r="BI79" s="34" t="n">
        <v>0</v>
      </c>
      <c r="BJ79" s="34"/>
      <c r="BK79" s="34" t="n">
        <v>7.4</v>
      </c>
      <c r="BL79" s="34" t="n">
        <v>0</v>
      </c>
      <c r="BM79" s="34" t="s">
        <v>200</v>
      </c>
      <c r="BN79" s="34" t="n">
        <v>2</v>
      </c>
      <c r="BO79" s="34" t="n">
        <v>0</v>
      </c>
      <c r="BP79" s="34" t="n">
        <v>1</v>
      </c>
      <c r="BQ79" s="34" t="s">
        <v>208</v>
      </c>
      <c r="BR79" s="34" t="s">
        <v>200</v>
      </c>
      <c r="BS79" s="34" t="n">
        <v>0.32</v>
      </c>
      <c r="BT79" s="34" t="n">
        <v>0</v>
      </c>
      <c r="BU79" s="34" t="n">
        <v>0.09</v>
      </c>
      <c r="BV79" s="34" t="n">
        <v>0.44</v>
      </c>
      <c r="BW79" s="34" t="n">
        <v>0</v>
      </c>
      <c r="BX79" s="34" t="n">
        <v>0</v>
      </c>
      <c r="BY79" s="34" t="n">
        <v>0</v>
      </c>
      <c r="BZ79" s="34" t="s">
        <v>200</v>
      </c>
      <c r="CA79" s="34" t="s">
        <v>202</v>
      </c>
      <c r="CB79" s="34"/>
      <c r="CC79" s="34" t="n">
        <v>2.2</v>
      </c>
      <c r="CD79" s="34" t="n">
        <v>0.13</v>
      </c>
      <c r="CE79" s="34" t="n">
        <v>0.73</v>
      </c>
      <c r="CF79" s="34" t="n">
        <v>0</v>
      </c>
      <c r="CG79" s="34" t="n">
        <v>1</v>
      </c>
      <c r="CH79" s="34" t="n">
        <v>15</v>
      </c>
      <c r="CI79" s="34" t="n">
        <v>3.1</v>
      </c>
      <c r="CJ79" s="34" t="n">
        <v>820</v>
      </c>
      <c r="CK79" s="34" t="n">
        <v>3</v>
      </c>
      <c r="CL79" s="34" t="n">
        <v>0.4</v>
      </c>
      <c r="CM79" s="35" t="n">
        <v>0</v>
      </c>
    </row>
    <row r="80" customFormat="false" ht="15" hidden="false" customHeight="false" outlineLevel="0" collapsed="false">
      <c r="A80" s="3" t="s">
        <v>297</v>
      </c>
      <c r="B80" s="34" t="n">
        <v>23</v>
      </c>
      <c r="C80" s="34" t="s">
        <v>210</v>
      </c>
      <c r="D80" s="34" t="s">
        <v>206</v>
      </c>
      <c r="E80" s="34" t="n">
        <v>1187</v>
      </c>
      <c r="F80" s="34" t="s">
        <v>199</v>
      </c>
      <c r="G80" s="34" t="s">
        <v>200</v>
      </c>
      <c r="H80" s="34" t="n">
        <v>12</v>
      </c>
      <c r="I80" s="34" t="n">
        <v>25</v>
      </c>
      <c r="J80" s="34" t="n">
        <v>25.3</v>
      </c>
      <c r="K80" s="34" t="n">
        <v>69</v>
      </c>
      <c r="L80" s="34" t="n">
        <v>10.5</v>
      </c>
      <c r="M80" s="34" t="n">
        <v>0.25</v>
      </c>
      <c r="N80" s="34" t="n">
        <v>0.14</v>
      </c>
      <c r="O80" s="34" t="n">
        <v>0.17</v>
      </c>
      <c r="P80" s="34" t="n">
        <v>67</v>
      </c>
      <c r="Q80" s="34" t="n">
        <v>5</v>
      </c>
      <c r="R80" s="34" t="n">
        <v>2</v>
      </c>
      <c r="S80" s="34" t="n">
        <v>36</v>
      </c>
      <c r="T80" s="34" t="n">
        <v>3076</v>
      </c>
      <c r="U80" s="34" t="n">
        <v>1.44</v>
      </c>
      <c r="V80" s="34" t="n">
        <v>3</v>
      </c>
      <c r="W80" s="34" t="n">
        <v>3</v>
      </c>
      <c r="X80" s="34" t="n">
        <v>12.4</v>
      </c>
      <c r="Y80" s="34" t="n">
        <v>50</v>
      </c>
      <c r="Z80" s="34" t="n">
        <v>1</v>
      </c>
      <c r="AA80" s="34" t="n">
        <v>0.23</v>
      </c>
      <c r="AB80" s="34" t="n">
        <v>0.73</v>
      </c>
      <c r="AC80" s="34" t="n">
        <v>5</v>
      </c>
      <c r="AD80" s="34" t="n">
        <v>7</v>
      </c>
      <c r="AE80" s="34" t="n">
        <v>1</v>
      </c>
      <c r="AF80" s="34" t="n">
        <v>0.49</v>
      </c>
      <c r="AG80" s="34" t="n">
        <v>1</v>
      </c>
      <c r="AH80" s="34" t="n">
        <v>1759</v>
      </c>
      <c r="AI80" s="34" t="n">
        <v>5793</v>
      </c>
      <c r="AJ80" s="34" t="n">
        <v>3.29</v>
      </c>
      <c r="AK80" s="34" t="n">
        <v>30</v>
      </c>
      <c r="AL80" s="34" t="n">
        <v>1</v>
      </c>
      <c r="AM80" s="34" t="n">
        <v>3.9</v>
      </c>
      <c r="AN80" s="34" t="n">
        <v>6.5</v>
      </c>
      <c r="AO80" s="34" t="n">
        <v>1.23</v>
      </c>
      <c r="AP80" s="34" t="n">
        <v>1680</v>
      </c>
      <c r="AQ80" s="34" t="n">
        <v>140</v>
      </c>
      <c r="AR80" s="34" t="n">
        <v>0.29</v>
      </c>
      <c r="AS80" s="34" t="n">
        <v>29</v>
      </c>
      <c r="AT80" s="34" t="n">
        <v>0.36</v>
      </c>
      <c r="AU80" s="34" t="n">
        <v>437</v>
      </c>
      <c r="AV80" s="34" t="n">
        <v>15575</v>
      </c>
      <c r="AW80" s="34" t="n">
        <v>0.56</v>
      </c>
      <c r="AX80" s="34" t="n">
        <v>2</v>
      </c>
      <c r="AY80" s="34" t="n">
        <v>0.66</v>
      </c>
      <c r="AZ80" s="34" t="n">
        <v>3.7</v>
      </c>
      <c r="BA80" s="34" t="n">
        <v>1.2</v>
      </c>
      <c r="BB80" s="34" t="n">
        <v>0.36</v>
      </c>
      <c r="BC80" s="34" t="s">
        <v>200</v>
      </c>
      <c r="BD80" s="34" t="s">
        <v>207</v>
      </c>
      <c r="BE80" s="34" t="n">
        <v>1</v>
      </c>
      <c r="BF80" s="34" t="n">
        <v>1</v>
      </c>
      <c r="BG80" s="34" t="n">
        <v>0</v>
      </c>
      <c r="BH80" s="34" t="n">
        <v>1</v>
      </c>
      <c r="BI80" s="34" t="n">
        <v>0</v>
      </c>
      <c r="BJ80" s="34"/>
      <c r="BK80" s="34" t="n">
        <v>3.4</v>
      </c>
      <c r="BL80" s="34" t="n">
        <v>1</v>
      </c>
      <c r="BM80" s="34" t="s">
        <v>200</v>
      </c>
      <c r="BN80" s="34" t="n">
        <v>3</v>
      </c>
      <c r="BO80" s="34" t="n">
        <v>0</v>
      </c>
      <c r="BP80" s="34" t="n">
        <v>1</v>
      </c>
      <c r="BQ80" s="34" t="s">
        <v>208</v>
      </c>
      <c r="BR80" s="34" t="s">
        <v>200</v>
      </c>
      <c r="BS80" s="34" t="n">
        <v>0.38</v>
      </c>
      <c r="BT80" s="34" t="n">
        <v>1</v>
      </c>
      <c r="BU80" s="34" t="n">
        <v>0.32</v>
      </c>
      <c r="BV80" s="34" t="n">
        <v>0.32</v>
      </c>
      <c r="BW80" s="34" t="n">
        <v>2</v>
      </c>
      <c r="BX80" s="34" t="n">
        <v>1</v>
      </c>
      <c r="BY80" s="34" t="n">
        <v>0</v>
      </c>
      <c r="BZ80" s="34" t="s">
        <v>207</v>
      </c>
      <c r="CA80" s="34" t="s">
        <v>230</v>
      </c>
      <c r="CB80" s="34" t="n">
        <v>11</v>
      </c>
      <c r="CC80" s="34" t="n">
        <v>2.9</v>
      </c>
      <c r="CD80" s="34" t="n">
        <v>0.05</v>
      </c>
      <c r="CE80" s="34" t="n">
        <v>0.46</v>
      </c>
      <c r="CF80" s="34" t="n">
        <v>1</v>
      </c>
      <c r="CG80" s="34" t="n">
        <v>2</v>
      </c>
      <c r="CH80" s="34" t="n">
        <v>62</v>
      </c>
      <c r="CI80" s="34" t="n">
        <v>15.2</v>
      </c>
      <c r="CJ80" s="34" t="n">
        <v>7548</v>
      </c>
      <c r="CK80" s="34" t="n">
        <v>6</v>
      </c>
      <c r="CL80" s="34" t="n">
        <v>0.67</v>
      </c>
      <c r="CM80" s="35" t="n">
        <v>1</v>
      </c>
    </row>
    <row r="81" customFormat="false" ht="15" hidden="false" customHeight="false" outlineLevel="0" collapsed="false">
      <c r="A81" s="3" t="s">
        <v>298</v>
      </c>
      <c r="B81" s="34" t="n">
        <v>26</v>
      </c>
      <c r="C81" s="34" t="s">
        <v>210</v>
      </c>
      <c r="D81" s="34" t="s">
        <v>206</v>
      </c>
      <c r="E81" s="34" t="n">
        <v>891</v>
      </c>
      <c r="F81" s="34" t="s">
        <v>223</v>
      </c>
      <c r="G81" s="34" t="s">
        <v>207</v>
      </c>
      <c r="H81" s="34" t="n">
        <v>12</v>
      </c>
      <c r="I81" s="34" t="n">
        <v>18</v>
      </c>
      <c r="J81" s="34" t="n">
        <v>9.9</v>
      </c>
      <c r="K81" s="34" t="n">
        <v>20</v>
      </c>
      <c r="L81" s="34" t="n">
        <v>3</v>
      </c>
      <c r="M81" s="34" t="n">
        <v>0.16</v>
      </c>
      <c r="N81" s="34" t="n">
        <v>0.41</v>
      </c>
      <c r="O81" s="34" t="n">
        <v>0.16</v>
      </c>
      <c r="P81" s="34" t="n">
        <v>19</v>
      </c>
      <c r="Q81" s="34" t="n">
        <v>4</v>
      </c>
      <c r="R81" s="34" t="n">
        <v>0.5</v>
      </c>
      <c r="S81" s="34" t="n">
        <v>23</v>
      </c>
      <c r="T81" s="34" t="n">
        <v>1365</v>
      </c>
      <c r="U81" s="34" t="n">
        <v>1.28</v>
      </c>
      <c r="V81" s="34" t="n">
        <v>2</v>
      </c>
      <c r="W81" s="34" t="n">
        <v>3</v>
      </c>
      <c r="X81" s="34" t="n">
        <v>33.7</v>
      </c>
      <c r="Y81" s="34" t="n">
        <v>-26</v>
      </c>
      <c r="Z81" s="34" t="n">
        <v>0</v>
      </c>
      <c r="AA81" s="34" t="n">
        <v>0.05</v>
      </c>
      <c r="AB81" s="34" t="n">
        <v>0.56</v>
      </c>
      <c r="AC81" s="34" t="n">
        <v>1</v>
      </c>
      <c r="AD81" s="34" t="n">
        <v>48</v>
      </c>
      <c r="AE81" s="34" t="n">
        <v>0</v>
      </c>
      <c r="AF81" s="34" t="n">
        <v>0.47</v>
      </c>
      <c r="AG81" s="34" t="n">
        <v>1</v>
      </c>
      <c r="AH81" s="34" t="n">
        <v>1306</v>
      </c>
      <c r="AI81" s="34" t="n">
        <v>1105</v>
      </c>
      <c r="AJ81" s="34" t="n">
        <v>0.85</v>
      </c>
      <c r="AK81" s="34" t="n">
        <v>7</v>
      </c>
      <c r="AL81" s="34" t="n">
        <v>0.66</v>
      </c>
      <c r="AM81" s="34" t="n">
        <v>3</v>
      </c>
      <c r="AN81" s="34" t="n">
        <v>6.6</v>
      </c>
      <c r="AO81" s="34" t="n">
        <v>1.1</v>
      </c>
      <c r="AP81" s="34" t="n">
        <v>910</v>
      </c>
      <c r="AQ81" s="34" t="n">
        <v>76</v>
      </c>
      <c r="AR81" s="34" t="n">
        <v>0.824</v>
      </c>
      <c r="AS81" s="34" t="n">
        <v>22</v>
      </c>
      <c r="AT81" s="34" t="n">
        <v>0.41</v>
      </c>
      <c r="AU81" s="34" t="n">
        <v>141</v>
      </c>
      <c r="AV81" s="34" t="n">
        <v>12968</v>
      </c>
      <c r="AW81" s="34" t="n">
        <v>0.607</v>
      </c>
      <c r="AX81" s="34" t="n">
        <v>2</v>
      </c>
      <c r="AY81" s="34" t="n">
        <v>0.96</v>
      </c>
      <c r="AZ81" s="34" t="n">
        <v>3</v>
      </c>
      <c r="BA81" s="34" t="n">
        <v>1</v>
      </c>
      <c r="BB81" s="34" t="n">
        <v>0.32</v>
      </c>
      <c r="BC81" s="34" t="s">
        <v>200</v>
      </c>
      <c r="BD81" s="34" t="s">
        <v>207</v>
      </c>
      <c r="BE81" s="34" t="n">
        <v>0</v>
      </c>
      <c r="BF81" s="34" t="n">
        <v>0</v>
      </c>
      <c r="BG81" s="34" t="n">
        <v>0</v>
      </c>
      <c r="BH81" s="34" t="n">
        <v>0</v>
      </c>
      <c r="BI81" s="34" t="n">
        <v>0</v>
      </c>
      <c r="BJ81" s="34"/>
      <c r="BK81" s="34" t="n">
        <v>5.2</v>
      </c>
      <c r="BL81" s="34" t="n">
        <v>1</v>
      </c>
      <c r="BM81" s="34" t="s">
        <v>200</v>
      </c>
      <c r="BN81" s="34" t="n">
        <v>2</v>
      </c>
      <c r="BO81" s="34" t="n">
        <v>0</v>
      </c>
      <c r="BP81" s="34" t="n">
        <v>2</v>
      </c>
      <c r="BQ81" s="34" t="s">
        <v>201</v>
      </c>
      <c r="BR81" s="34" t="s">
        <v>200</v>
      </c>
      <c r="BS81" s="34" t="n">
        <v>0.13</v>
      </c>
      <c r="BT81" s="34" t="n">
        <v>0</v>
      </c>
      <c r="BU81" s="34" t="n">
        <v>0.22</v>
      </c>
      <c r="BV81" s="34" t="n">
        <v>0.41</v>
      </c>
      <c r="BW81" s="34" t="n">
        <v>3</v>
      </c>
      <c r="BX81" s="34" t="n">
        <v>0</v>
      </c>
      <c r="BY81" s="34" t="n">
        <v>0</v>
      </c>
      <c r="BZ81" s="34" t="s">
        <v>200</v>
      </c>
      <c r="CA81" s="34" t="s">
        <v>230</v>
      </c>
      <c r="CB81" s="34"/>
      <c r="CC81" s="34" t="n">
        <v>2.3</v>
      </c>
      <c r="CD81" s="34" t="n">
        <v>0.28</v>
      </c>
      <c r="CE81" s="34" t="n">
        <v>0.2</v>
      </c>
      <c r="CF81" s="34" t="n">
        <v>1</v>
      </c>
      <c r="CG81" s="34" t="n">
        <v>1</v>
      </c>
      <c r="CH81" s="34" t="n">
        <v>47</v>
      </c>
      <c r="CI81" s="34" t="n">
        <v>4</v>
      </c>
      <c r="CJ81" s="34" t="n">
        <v>1233</v>
      </c>
      <c r="CK81" s="34" t="n">
        <v>6</v>
      </c>
      <c r="CL81" s="34" t="n">
        <v>0.53</v>
      </c>
      <c r="CM81" s="35" t="n">
        <v>0</v>
      </c>
    </row>
    <row r="82" customFormat="false" ht="15" hidden="false" customHeight="false" outlineLevel="0" collapsed="false">
      <c r="A82" s="3" t="s">
        <v>299</v>
      </c>
      <c r="B82" s="34" t="n">
        <v>57</v>
      </c>
      <c r="C82" s="34" t="s">
        <v>210</v>
      </c>
      <c r="D82" s="34" t="s">
        <v>227</v>
      </c>
      <c r="E82" s="34" t="n">
        <v>489</v>
      </c>
      <c r="F82" s="34" t="s">
        <v>199</v>
      </c>
      <c r="G82" s="34" t="s">
        <v>200</v>
      </c>
      <c r="H82" s="34" t="n">
        <v>1</v>
      </c>
      <c r="I82" s="34" t="n">
        <v>1</v>
      </c>
      <c r="J82" s="34" t="n">
        <v>33.9</v>
      </c>
      <c r="K82" s="34" t="n">
        <v>65</v>
      </c>
      <c r="L82" s="34" t="n">
        <v>0.6</v>
      </c>
      <c r="M82" s="34" t="n">
        <v>0.14</v>
      </c>
      <c r="N82" s="34" t="n">
        <v>0.24</v>
      </c>
      <c r="O82" s="34" t="n">
        <v>0.19</v>
      </c>
      <c r="P82" s="34" t="n">
        <v>60</v>
      </c>
      <c r="Q82" s="34" t="n">
        <v>1</v>
      </c>
      <c r="R82" s="34" t="n">
        <v>1.4</v>
      </c>
      <c r="S82" s="34" t="n">
        <v>2</v>
      </c>
      <c r="T82" s="34" t="n">
        <v>68</v>
      </c>
      <c r="U82" s="34" t="n">
        <v>2</v>
      </c>
      <c r="V82" s="34" t="n">
        <v>1</v>
      </c>
      <c r="W82" s="34" t="n">
        <v>0</v>
      </c>
      <c r="X82" s="34" t="n">
        <v>383.9</v>
      </c>
      <c r="Y82" s="34" t="n">
        <v>8</v>
      </c>
      <c r="Z82" s="34" t="n">
        <v>0</v>
      </c>
      <c r="AA82" s="34" t="n">
        <v>0.16</v>
      </c>
      <c r="AB82" s="34" t="n">
        <v>0.5</v>
      </c>
      <c r="AC82" s="34" t="n">
        <v>6</v>
      </c>
      <c r="AD82" s="34" t="n">
        <v>88</v>
      </c>
      <c r="AE82" s="34" t="n">
        <v>0</v>
      </c>
      <c r="AF82" s="34" t="n">
        <v>0.8</v>
      </c>
      <c r="AG82" s="34" t="n">
        <v>0</v>
      </c>
      <c r="AH82" s="34" t="n">
        <v>47</v>
      </c>
      <c r="AI82" s="34" t="n">
        <v>61</v>
      </c>
      <c r="AJ82" s="34" t="n">
        <v>1.3</v>
      </c>
      <c r="AK82" s="34" t="n">
        <v>13</v>
      </c>
      <c r="AL82" s="34" t="n">
        <v>0.46</v>
      </c>
      <c r="AM82" s="34" t="n">
        <v>-4.3</v>
      </c>
      <c r="AN82" s="34" t="n">
        <v>4.9</v>
      </c>
      <c r="AO82" s="34" t="n">
        <v>1.18</v>
      </c>
      <c r="AP82" s="34" t="n">
        <v>34</v>
      </c>
      <c r="AQ82" s="34" t="n">
        <v>34</v>
      </c>
      <c r="AR82" s="34" t="n">
        <v>0.557</v>
      </c>
      <c r="AS82" s="34" t="n">
        <v>-39</v>
      </c>
      <c r="AT82" s="34" t="n">
        <v>0.22</v>
      </c>
      <c r="AU82" s="34" t="n">
        <v>7</v>
      </c>
      <c r="AV82" s="34" t="n">
        <v>258</v>
      </c>
      <c r="AW82" s="34" t="n">
        <v>0.011</v>
      </c>
      <c r="AX82" s="34" t="n">
        <v>1</v>
      </c>
      <c r="AY82" s="34" t="n">
        <v>0.33</v>
      </c>
      <c r="AZ82" s="34" t="n">
        <v>2.6</v>
      </c>
      <c r="BA82" s="34" t="n">
        <v>2.4</v>
      </c>
      <c r="BB82" s="34" t="n">
        <v>0.17</v>
      </c>
      <c r="BC82" s="34" t="s">
        <v>200</v>
      </c>
      <c r="BD82" s="34" t="s">
        <v>207</v>
      </c>
      <c r="BE82" s="34" t="n">
        <v>0</v>
      </c>
      <c r="BF82" s="34" t="n">
        <v>0</v>
      </c>
      <c r="BG82" s="34" t="n">
        <v>0</v>
      </c>
      <c r="BH82" s="34" t="n">
        <v>0</v>
      </c>
      <c r="BI82" s="34" t="n">
        <v>1</v>
      </c>
      <c r="BJ82" s="34" t="s">
        <v>300</v>
      </c>
      <c r="BK82" s="34" t="n">
        <v>5</v>
      </c>
      <c r="BL82" s="34" t="n">
        <v>0</v>
      </c>
      <c r="BM82" s="34" t="s">
        <v>200</v>
      </c>
      <c r="BN82" s="34" t="n">
        <v>1</v>
      </c>
      <c r="BO82" s="34" t="n">
        <v>0</v>
      </c>
      <c r="BP82" s="34" t="n">
        <v>0</v>
      </c>
      <c r="BQ82" s="34" t="s">
        <v>212</v>
      </c>
      <c r="BR82" s="34" t="s">
        <v>200</v>
      </c>
      <c r="BS82" s="34" t="n">
        <v>0.23</v>
      </c>
      <c r="BT82" s="34" t="n">
        <v>0</v>
      </c>
      <c r="BU82" s="34" t="n">
        <v>0.11</v>
      </c>
      <c r="BV82" s="34" t="n">
        <v>0.24</v>
      </c>
      <c r="BW82" s="34" t="n">
        <v>2</v>
      </c>
      <c r="BX82" s="34" t="n">
        <v>0</v>
      </c>
      <c r="BY82" s="34" t="n">
        <v>0</v>
      </c>
      <c r="BZ82" s="34" t="s">
        <v>200</v>
      </c>
      <c r="CA82" s="34" t="s">
        <v>202</v>
      </c>
      <c r="CB82" s="34"/>
      <c r="CC82" s="34" t="n">
        <v>2.3</v>
      </c>
      <c r="CD82" s="34" t="n">
        <v>0.13</v>
      </c>
      <c r="CE82" s="34" t="n">
        <v>0.52</v>
      </c>
      <c r="CF82" s="34" t="n">
        <v>0</v>
      </c>
      <c r="CG82" s="34" t="n">
        <v>2</v>
      </c>
      <c r="CH82" s="34" t="n">
        <v>25</v>
      </c>
      <c r="CI82" s="34" t="n">
        <v>-7.4</v>
      </c>
      <c r="CJ82" s="34" t="n">
        <v>58</v>
      </c>
      <c r="CK82" s="34" t="n">
        <v>6</v>
      </c>
      <c r="CL82" s="34" t="n">
        <v>0.33</v>
      </c>
      <c r="CM82" s="35" t="n">
        <v>0</v>
      </c>
    </row>
    <row r="83" customFormat="false" ht="15" hidden="false" customHeight="false" outlineLevel="0" collapsed="false">
      <c r="A83" s="3" t="s">
        <v>301</v>
      </c>
      <c r="B83" s="34" t="n">
        <v>39</v>
      </c>
      <c r="C83" s="34" t="s">
        <v>210</v>
      </c>
      <c r="D83" s="34" t="s">
        <v>215</v>
      </c>
      <c r="E83" s="34" t="n">
        <v>337</v>
      </c>
      <c r="F83" s="34" t="s">
        <v>223</v>
      </c>
      <c r="G83" s="34" t="s">
        <v>200</v>
      </c>
      <c r="H83" s="34" t="n">
        <v>13</v>
      </c>
      <c r="I83" s="34" t="n">
        <v>21</v>
      </c>
      <c r="J83" s="34" t="n">
        <v>10.2</v>
      </c>
      <c r="K83" s="34" t="n">
        <v>25</v>
      </c>
      <c r="L83" s="34" t="n">
        <v>3.6</v>
      </c>
      <c r="M83" s="34" t="n">
        <v>0.21</v>
      </c>
      <c r="N83" s="34" t="n">
        <v>0.36</v>
      </c>
      <c r="O83" s="34" t="n">
        <v>0.06</v>
      </c>
      <c r="P83" s="34" t="n">
        <v>18</v>
      </c>
      <c r="Q83" s="34" t="n">
        <v>4</v>
      </c>
      <c r="R83" s="34" t="n">
        <v>0.2</v>
      </c>
      <c r="S83" s="34" t="n">
        <v>22</v>
      </c>
      <c r="T83" s="34" t="n">
        <v>1722</v>
      </c>
      <c r="U83" s="34" t="n">
        <v>1.05</v>
      </c>
      <c r="V83" s="34" t="n">
        <v>1</v>
      </c>
      <c r="W83" s="34" t="n">
        <v>0</v>
      </c>
      <c r="X83" s="34" t="n">
        <v>28.9</v>
      </c>
      <c r="Y83" s="34" t="n">
        <v>33</v>
      </c>
      <c r="Z83" s="34" t="n">
        <v>0</v>
      </c>
      <c r="AA83" s="34" t="n">
        <v>0.3</v>
      </c>
      <c r="AB83" s="34" t="n">
        <v>0.08</v>
      </c>
      <c r="AC83" s="34" t="n">
        <v>2</v>
      </c>
      <c r="AD83" s="34" t="n">
        <v>58</v>
      </c>
      <c r="AE83" s="34" t="n">
        <v>0</v>
      </c>
      <c r="AF83" s="34" t="n">
        <v>0.46</v>
      </c>
      <c r="AG83" s="34" t="n">
        <v>0</v>
      </c>
      <c r="AH83" s="34" t="n">
        <v>831</v>
      </c>
      <c r="AI83" s="34" t="n">
        <v>1083</v>
      </c>
      <c r="AJ83" s="34" t="n">
        <v>1.3</v>
      </c>
      <c r="AK83" s="34" t="n">
        <v>9</v>
      </c>
      <c r="AL83" s="34" t="n">
        <v>0.36</v>
      </c>
      <c r="AM83" s="34" t="n">
        <v>4.3</v>
      </c>
      <c r="AN83" s="34" t="n">
        <v>5.8</v>
      </c>
      <c r="AO83" s="34" t="n">
        <v>1.05</v>
      </c>
      <c r="AP83" s="34" t="n">
        <v>1052</v>
      </c>
      <c r="AQ83" s="34" t="n">
        <v>81</v>
      </c>
      <c r="AR83" s="34" t="n">
        <v>0.971</v>
      </c>
      <c r="AS83" s="34" t="n">
        <v>-3</v>
      </c>
      <c r="AT83" s="34" t="n">
        <v>0.01</v>
      </c>
      <c r="AU83" s="34" t="n">
        <v>425</v>
      </c>
      <c r="AV83" s="34" t="n">
        <v>8411</v>
      </c>
      <c r="AW83" s="34" t="n">
        <v>0.701</v>
      </c>
      <c r="AX83" s="34" t="n">
        <v>1</v>
      </c>
      <c r="AY83" s="34" t="n">
        <v>0.27</v>
      </c>
      <c r="AZ83" s="34" t="n">
        <v>2.3</v>
      </c>
      <c r="BA83" s="34" t="n">
        <v>2.2</v>
      </c>
      <c r="BB83" s="34" t="n">
        <v>0.04</v>
      </c>
      <c r="BC83" s="34" t="s">
        <v>200</v>
      </c>
      <c r="BD83" s="34" t="s">
        <v>207</v>
      </c>
      <c r="BE83" s="34" t="n">
        <v>0</v>
      </c>
      <c r="BF83" s="34" t="n">
        <v>0</v>
      </c>
      <c r="BG83" s="34" t="n">
        <v>1</v>
      </c>
      <c r="BH83" s="34" t="n">
        <v>0</v>
      </c>
      <c r="BI83" s="34" t="n">
        <v>0</v>
      </c>
      <c r="BJ83" s="34"/>
      <c r="BK83" s="34" t="n">
        <v>5.6</v>
      </c>
      <c r="BL83" s="34" t="n">
        <v>1</v>
      </c>
      <c r="BM83" s="34" t="s">
        <v>200</v>
      </c>
      <c r="BN83" s="34" t="n">
        <v>2</v>
      </c>
      <c r="BO83" s="34" t="n">
        <v>0</v>
      </c>
      <c r="BP83" s="34" t="n">
        <v>1</v>
      </c>
      <c r="BQ83" s="34" t="s">
        <v>201</v>
      </c>
      <c r="BR83" s="34" t="s">
        <v>200</v>
      </c>
      <c r="BS83" s="34" t="n">
        <v>0.4</v>
      </c>
      <c r="BT83" s="34" t="n">
        <v>1</v>
      </c>
      <c r="BU83" s="34" t="n">
        <v>0.17</v>
      </c>
      <c r="BV83" s="34" t="n">
        <v>0.36</v>
      </c>
      <c r="BW83" s="34" t="n">
        <v>0</v>
      </c>
      <c r="BX83" s="34" t="n">
        <v>0</v>
      </c>
      <c r="BY83" s="34" t="n">
        <v>0</v>
      </c>
      <c r="BZ83" s="34" t="s">
        <v>200</v>
      </c>
      <c r="CA83" s="34" t="s">
        <v>202</v>
      </c>
      <c r="CB83" s="34"/>
      <c r="CC83" s="34" t="n">
        <v>2</v>
      </c>
      <c r="CD83" s="34" t="n">
        <v>0.12</v>
      </c>
      <c r="CE83" s="34" t="n">
        <v>0.64</v>
      </c>
      <c r="CF83" s="34" t="n">
        <v>0</v>
      </c>
      <c r="CG83" s="34" t="n">
        <v>1</v>
      </c>
      <c r="CH83" s="34" t="n">
        <v>28</v>
      </c>
      <c r="CI83" s="34" t="n">
        <v>2.4</v>
      </c>
      <c r="CJ83" s="34" t="n">
        <v>873</v>
      </c>
      <c r="CK83" s="34" t="n">
        <v>6</v>
      </c>
      <c r="CL83" s="34" t="n">
        <v>0.34</v>
      </c>
      <c r="CM83" s="35" t="n">
        <v>0</v>
      </c>
    </row>
    <row r="84" customFormat="false" ht="15" hidden="false" customHeight="false" outlineLevel="0" collapsed="false">
      <c r="A84" s="3" t="s">
        <v>302</v>
      </c>
      <c r="B84" s="34" t="n">
        <v>46</v>
      </c>
      <c r="C84" s="34" t="s">
        <v>197</v>
      </c>
      <c r="D84" s="34" t="s">
        <v>215</v>
      </c>
      <c r="E84" s="34" t="n">
        <v>22</v>
      </c>
      <c r="F84" s="34" t="s">
        <v>223</v>
      </c>
      <c r="G84" s="34" t="s">
        <v>200</v>
      </c>
      <c r="H84" s="34" t="n">
        <v>7</v>
      </c>
      <c r="I84" s="34" t="n">
        <v>10</v>
      </c>
      <c r="J84" s="34" t="n">
        <v>40.7</v>
      </c>
      <c r="K84" s="34" t="n">
        <v>87</v>
      </c>
      <c r="L84" s="34" t="n">
        <v>6.8</v>
      </c>
      <c r="M84" s="34" t="n">
        <v>0.1</v>
      </c>
      <c r="N84" s="34" t="n">
        <v>0.32</v>
      </c>
      <c r="O84" s="34" t="n">
        <v>0.12</v>
      </c>
      <c r="P84" s="34" t="n">
        <v>73</v>
      </c>
      <c r="Q84" s="34" t="n">
        <v>1</v>
      </c>
      <c r="R84" s="34" t="n">
        <v>0.1</v>
      </c>
      <c r="S84" s="34" t="n">
        <v>10</v>
      </c>
      <c r="T84" s="34" t="n">
        <v>427</v>
      </c>
      <c r="U84" s="34" t="n">
        <v>1</v>
      </c>
      <c r="V84" s="34" t="n">
        <v>2</v>
      </c>
      <c r="W84" s="34" t="n">
        <v>1</v>
      </c>
      <c r="X84" s="34" t="n">
        <v>74.2</v>
      </c>
      <c r="Y84" s="34" t="n">
        <v>11</v>
      </c>
      <c r="Z84" s="34" t="n">
        <v>0</v>
      </c>
      <c r="AA84" s="34" t="n">
        <v>0</v>
      </c>
      <c r="AB84" s="34" t="n">
        <v>0.37</v>
      </c>
      <c r="AC84" s="34" t="n">
        <v>4</v>
      </c>
      <c r="AD84" s="34" t="n">
        <v>34</v>
      </c>
      <c r="AE84" s="34" t="n">
        <v>0</v>
      </c>
      <c r="AF84" s="34" t="n">
        <v>0.41</v>
      </c>
      <c r="AG84" s="34" t="n">
        <v>0</v>
      </c>
      <c r="AH84" s="34" t="n">
        <v>399</v>
      </c>
      <c r="AI84" s="34" t="n">
        <v>519</v>
      </c>
      <c r="AJ84" s="34" t="n">
        <v>1.3</v>
      </c>
      <c r="AK84" s="34" t="n">
        <v>8</v>
      </c>
      <c r="AL84" s="34" t="n">
        <v>0.65</v>
      </c>
      <c r="AM84" s="34" t="n">
        <v>-12.1</v>
      </c>
      <c r="AN84" s="34" t="n">
        <v>3.9</v>
      </c>
      <c r="AO84" s="34" t="n">
        <v>0.89</v>
      </c>
      <c r="AP84" s="34" t="n">
        <v>306</v>
      </c>
      <c r="AQ84" s="34" t="n">
        <v>44</v>
      </c>
      <c r="AR84" s="34" t="n">
        <v>0.59</v>
      </c>
      <c r="AS84" s="34" t="n">
        <v>-23</v>
      </c>
      <c r="AT84" s="34" t="n">
        <v>0.12</v>
      </c>
      <c r="AU84" s="34" t="n">
        <v>109</v>
      </c>
      <c r="AV84" s="34" t="n">
        <v>93</v>
      </c>
      <c r="AW84" s="34" t="n">
        <v>0.204</v>
      </c>
      <c r="AX84" s="34" t="n">
        <v>1</v>
      </c>
      <c r="AY84" s="34" t="n">
        <v>0</v>
      </c>
      <c r="AZ84" s="34" t="n">
        <v>3.1</v>
      </c>
      <c r="BA84" s="34" t="n">
        <v>2.7</v>
      </c>
      <c r="BB84" s="34" t="n">
        <v>0.4</v>
      </c>
      <c r="BC84" s="34" t="s">
        <v>200</v>
      </c>
      <c r="BD84" s="34" t="s">
        <v>207</v>
      </c>
      <c r="BE84" s="34" t="n">
        <v>0</v>
      </c>
      <c r="BF84" s="34" t="n">
        <v>0</v>
      </c>
      <c r="BG84" s="34" t="n">
        <v>1</v>
      </c>
      <c r="BH84" s="34" t="n">
        <v>0</v>
      </c>
      <c r="BI84" s="34" t="n">
        <v>0</v>
      </c>
      <c r="BJ84" s="34"/>
      <c r="BK84" s="34" t="n">
        <v>2.8</v>
      </c>
      <c r="BL84" s="34" t="n">
        <v>0</v>
      </c>
      <c r="BM84" s="34" t="s">
        <v>200</v>
      </c>
      <c r="BN84" s="34" t="n">
        <v>1</v>
      </c>
      <c r="BO84" s="34" t="n">
        <v>0</v>
      </c>
      <c r="BP84" s="34" t="n">
        <v>2</v>
      </c>
      <c r="BQ84" s="34" t="s">
        <v>212</v>
      </c>
      <c r="BR84" s="34" t="s">
        <v>200</v>
      </c>
      <c r="BS84" s="34" t="n">
        <v>0.22</v>
      </c>
      <c r="BT84" s="34" t="n">
        <v>0</v>
      </c>
      <c r="BU84" s="34" t="n">
        <v>0.28</v>
      </c>
      <c r="BV84" s="34" t="n">
        <v>0</v>
      </c>
      <c r="BW84" s="34" t="n">
        <v>0</v>
      </c>
      <c r="BX84" s="34" t="n">
        <v>0</v>
      </c>
      <c r="BY84" s="34" t="n">
        <v>0</v>
      </c>
      <c r="BZ84" s="34" t="s">
        <v>200</v>
      </c>
      <c r="CA84" s="34" t="s">
        <v>202</v>
      </c>
      <c r="CB84" s="34"/>
      <c r="CC84" s="34" t="n">
        <v>1.7</v>
      </c>
      <c r="CD84" s="34" t="n">
        <v>0.15</v>
      </c>
      <c r="CE84" s="34" t="n">
        <v>0.53</v>
      </c>
      <c r="CF84" s="34" t="n">
        <v>0</v>
      </c>
      <c r="CG84" s="34" t="n">
        <v>1</v>
      </c>
      <c r="CH84" s="34" t="n">
        <v>-40</v>
      </c>
      <c r="CI84" s="34" t="n">
        <v>3.8</v>
      </c>
      <c r="CJ84" s="34" t="n">
        <v>283</v>
      </c>
      <c r="CK84" s="34" t="n">
        <v>1</v>
      </c>
      <c r="CL84" s="34" t="n">
        <v>0.53</v>
      </c>
      <c r="CM84" s="35" t="n">
        <v>0</v>
      </c>
    </row>
    <row r="85" customFormat="false" ht="15" hidden="false" customHeight="false" outlineLevel="0" collapsed="false">
      <c r="A85" s="3" t="s">
        <v>303</v>
      </c>
      <c r="B85" s="34" t="n">
        <v>33</v>
      </c>
      <c r="C85" s="34" t="s">
        <v>197</v>
      </c>
      <c r="D85" s="34" t="s">
        <v>243</v>
      </c>
      <c r="E85" s="34" t="n">
        <v>297</v>
      </c>
      <c r="F85" s="34" t="s">
        <v>223</v>
      </c>
      <c r="G85" s="34" t="s">
        <v>200</v>
      </c>
      <c r="H85" s="34" t="n">
        <v>9</v>
      </c>
      <c r="I85" s="34" t="n">
        <v>21</v>
      </c>
      <c r="J85" s="34" t="n">
        <v>18.7</v>
      </c>
      <c r="K85" s="34" t="n">
        <v>58</v>
      </c>
      <c r="L85" s="34" t="n">
        <v>6.5</v>
      </c>
      <c r="M85" s="34" t="n">
        <v>0.14</v>
      </c>
      <c r="N85" s="34" t="n">
        <v>0.04</v>
      </c>
      <c r="O85" s="34" t="n">
        <v>0.15</v>
      </c>
      <c r="P85" s="34" t="n">
        <v>50</v>
      </c>
      <c r="Q85" s="34" t="n">
        <v>5</v>
      </c>
      <c r="R85" s="34" t="n">
        <v>1.8</v>
      </c>
      <c r="S85" s="34" t="n">
        <v>58</v>
      </c>
      <c r="T85" s="34" t="n">
        <v>3545</v>
      </c>
      <c r="U85" s="34" t="n">
        <v>2.76</v>
      </c>
      <c r="V85" s="34" t="n">
        <v>4</v>
      </c>
      <c r="W85" s="34" t="n">
        <v>3</v>
      </c>
      <c r="X85" s="34" t="n">
        <v>14.6</v>
      </c>
      <c r="Y85" s="34" t="n">
        <v>44</v>
      </c>
      <c r="Z85" s="34" t="n">
        <v>2</v>
      </c>
      <c r="AA85" s="34" t="n">
        <v>0.2</v>
      </c>
      <c r="AB85" s="34" t="n">
        <v>0.67</v>
      </c>
      <c r="AC85" s="34" t="n">
        <v>0</v>
      </c>
      <c r="AD85" s="34" t="n">
        <v>51</v>
      </c>
      <c r="AE85" s="34" t="n">
        <v>1</v>
      </c>
      <c r="AF85" s="34" t="n">
        <v>0.41</v>
      </c>
      <c r="AG85" s="34" t="n">
        <v>1</v>
      </c>
      <c r="AH85" s="34" t="n">
        <v>2034</v>
      </c>
      <c r="AI85" s="34" t="n">
        <v>4682</v>
      </c>
      <c r="AJ85" s="34" t="n">
        <v>2.3</v>
      </c>
      <c r="AK85" s="34" t="n">
        <v>21</v>
      </c>
      <c r="AL85" s="34" t="n">
        <v>0.75</v>
      </c>
      <c r="AM85" s="34" t="n">
        <v>9.4</v>
      </c>
      <c r="AN85" s="34" t="n">
        <v>6.5</v>
      </c>
      <c r="AO85" s="34" t="n">
        <v>1.1</v>
      </c>
      <c r="AP85" s="34" t="n">
        <v>2442</v>
      </c>
      <c r="AQ85" s="34" t="n">
        <v>271</v>
      </c>
      <c r="AR85" s="34" t="n">
        <v>0.522</v>
      </c>
      <c r="AS85" s="34" t="n">
        <v>32</v>
      </c>
      <c r="AT85" s="34" t="n">
        <v>0.29</v>
      </c>
      <c r="AU85" s="34" t="n">
        <v>1096</v>
      </c>
      <c r="AV85" s="34" t="n">
        <v>10856</v>
      </c>
      <c r="AW85" s="34" t="n">
        <v>1.628</v>
      </c>
      <c r="AX85" s="34" t="n">
        <v>1</v>
      </c>
      <c r="AY85" s="34" t="n">
        <v>0.91</v>
      </c>
      <c r="AZ85" s="34" t="n">
        <v>4.1</v>
      </c>
      <c r="BA85" s="34" t="n">
        <v>3.3</v>
      </c>
      <c r="BB85" s="34" t="n">
        <v>0.25</v>
      </c>
      <c r="BC85" s="34" t="s">
        <v>200</v>
      </c>
      <c r="BD85" s="34" t="s">
        <v>207</v>
      </c>
      <c r="BE85" s="34" t="n">
        <v>1</v>
      </c>
      <c r="BF85" s="34" t="n">
        <v>0</v>
      </c>
      <c r="BG85" s="34" t="n">
        <v>0</v>
      </c>
      <c r="BH85" s="34" t="n">
        <v>1</v>
      </c>
      <c r="BI85" s="34" t="n">
        <v>1</v>
      </c>
      <c r="BJ85" s="34" t="s">
        <v>304</v>
      </c>
      <c r="BK85" s="34" t="n">
        <v>4</v>
      </c>
      <c r="BL85" s="34" t="n">
        <v>1</v>
      </c>
      <c r="BM85" s="34" t="s">
        <v>200</v>
      </c>
      <c r="BN85" s="34" t="n">
        <v>1</v>
      </c>
      <c r="BO85" s="34" t="n">
        <v>0</v>
      </c>
      <c r="BP85" s="34" t="n">
        <v>2</v>
      </c>
      <c r="BQ85" s="34" t="s">
        <v>208</v>
      </c>
      <c r="BR85" s="34" t="s">
        <v>200</v>
      </c>
      <c r="BS85" s="34" t="n">
        <v>0.41</v>
      </c>
      <c r="BT85" s="34" t="n">
        <v>1</v>
      </c>
      <c r="BU85" s="34" t="n">
        <v>0.32</v>
      </c>
      <c r="BV85" s="34" t="n">
        <v>0.64</v>
      </c>
      <c r="BW85" s="34" t="n">
        <v>6</v>
      </c>
      <c r="BX85" s="34" t="n">
        <v>1</v>
      </c>
      <c r="BY85" s="34" t="n">
        <v>0</v>
      </c>
      <c r="BZ85" s="34" t="s">
        <v>200</v>
      </c>
      <c r="CA85" s="34" t="s">
        <v>230</v>
      </c>
      <c r="CB85" s="34" t="n">
        <v>12</v>
      </c>
      <c r="CC85" s="34" t="n">
        <v>2.3</v>
      </c>
      <c r="CD85" s="34" t="n">
        <v>0.19</v>
      </c>
      <c r="CE85" s="34" t="n">
        <v>0.57</v>
      </c>
      <c r="CF85" s="34" t="n">
        <v>0</v>
      </c>
      <c r="CG85" s="34" t="n">
        <v>2</v>
      </c>
      <c r="CH85" s="34" t="n">
        <v>44</v>
      </c>
      <c r="CI85" s="34" t="n">
        <v>4.2</v>
      </c>
      <c r="CJ85" s="34" t="n">
        <v>5630</v>
      </c>
      <c r="CK85" s="34" t="n">
        <v>6</v>
      </c>
      <c r="CL85" s="34" t="n">
        <v>0.84</v>
      </c>
      <c r="CM85" s="35" t="n">
        <v>0</v>
      </c>
    </row>
    <row r="86" customFormat="false" ht="15" hidden="false" customHeight="false" outlineLevel="0" collapsed="false">
      <c r="A86" s="3" t="s">
        <v>305</v>
      </c>
      <c r="B86" s="34" t="n">
        <v>40</v>
      </c>
      <c r="C86" s="34" t="s">
        <v>197</v>
      </c>
      <c r="D86" s="34" t="s">
        <v>215</v>
      </c>
      <c r="E86" s="34" t="n">
        <v>430</v>
      </c>
      <c r="F86" s="34" t="s">
        <v>199</v>
      </c>
      <c r="G86" s="34" t="s">
        <v>200</v>
      </c>
      <c r="H86" s="34" t="n">
        <v>1</v>
      </c>
      <c r="I86" s="34" t="n">
        <v>1</v>
      </c>
      <c r="J86" s="34" t="n">
        <v>28.6</v>
      </c>
      <c r="K86" s="34" t="n">
        <v>61</v>
      </c>
      <c r="L86" s="34" t="n">
        <v>0.5</v>
      </c>
      <c r="M86" s="34" t="n">
        <v>0.03</v>
      </c>
      <c r="N86" s="34" t="n">
        <v>0.22</v>
      </c>
      <c r="O86" s="34" t="n">
        <v>0.14</v>
      </c>
      <c r="P86" s="34" t="n">
        <v>45</v>
      </c>
      <c r="Q86" s="34" t="n">
        <v>1</v>
      </c>
      <c r="R86" s="34" t="n">
        <v>0.3</v>
      </c>
      <c r="S86" s="34" t="n">
        <v>1</v>
      </c>
      <c r="T86" s="34" t="n">
        <v>40</v>
      </c>
      <c r="U86" s="34" t="n">
        <v>1</v>
      </c>
      <c r="V86" s="34" t="n">
        <v>1</v>
      </c>
      <c r="W86" s="34" t="n">
        <v>1</v>
      </c>
      <c r="X86" s="34" t="n">
        <v>742</v>
      </c>
      <c r="Y86" s="34" t="n">
        <v>-8</v>
      </c>
      <c r="Z86" s="34" t="n">
        <v>0</v>
      </c>
      <c r="AA86" s="34" t="n">
        <v>0</v>
      </c>
      <c r="AB86" s="34" t="n">
        <v>0.09</v>
      </c>
      <c r="AC86" s="34" t="n">
        <v>1</v>
      </c>
      <c r="AD86" s="34" t="n">
        <v>26</v>
      </c>
      <c r="AE86" s="34" t="n">
        <v>0</v>
      </c>
      <c r="AF86" s="34" t="n">
        <v>0.48</v>
      </c>
      <c r="AG86" s="34" t="n">
        <v>0</v>
      </c>
      <c r="AH86" s="34" t="n">
        <v>39</v>
      </c>
      <c r="AI86" s="34" t="n">
        <v>41</v>
      </c>
      <c r="AJ86" s="34" t="n">
        <v>1.05</v>
      </c>
      <c r="AK86" s="34" t="n">
        <v>5</v>
      </c>
      <c r="AL86" s="34" t="n">
        <v>0.45</v>
      </c>
      <c r="AM86" s="34" t="n">
        <v>-8.9</v>
      </c>
      <c r="AN86" s="34" t="n">
        <v>4.4</v>
      </c>
      <c r="AO86" s="34" t="n">
        <v>0.92</v>
      </c>
      <c r="AP86" s="34" t="n">
        <v>23</v>
      </c>
      <c r="AQ86" s="34" t="n">
        <v>23</v>
      </c>
      <c r="AR86" s="34" t="n">
        <v>0.561</v>
      </c>
      <c r="AS86" s="34" t="n">
        <v>-8</v>
      </c>
      <c r="AT86" s="34" t="n">
        <v>0.14</v>
      </c>
      <c r="AU86" s="34" t="n">
        <v>7</v>
      </c>
      <c r="AV86" s="34" t="n">
        <v>210</v>
      </c>
      <c r="AW86" s="34" t="n">
        <v>0.008</v>
      </c>
      <c r="AX86" s="34" t="n">
        <v>1</v>
      </c>
      <c r="AY86" s="34" t="n">
        <v>0.35</v>
      </c>
      <c r="AZ86" s="34" t="n">
        <v>2.6</v>
      </c>
      <c r="BA86" s="34" t="n">
        <v>1</v>
      </c>
      <c r="BB86" s="34" t="n">
        <v>0.26</v>
      </c>
      <c r="BC86" s="34" t="s">
        <v>200</v>
      </c>
      <c r="BD86" s="34" t="s">
        <v>200</v>
      </c>
      <c r="BE86" s="34" t="n">
        <v>0</v>
      </c>
      <c r="BF86" s="34" t="n">
        <v>0</v>
      </c>
      <c r="BG86" s="34" t="n">
        <v>0</v>
      </c>
      <c r="BH86" s="34" t="n">
        <v>1</v>
      </c>
      <c r="BI86" s="34" t="n">
        <v>0</v>
      </c>
      <c r="BJ86" s="34"/>
      <c r="BK86" s="34" t="n">
        <v>9.7</v>
      </c>
      <c r="BL86" s="34" t="n">
        <v>0</v>
      </c>
      <c r="BM86" s="34" t="s">
        <v>200</v>
      </c>
      <c r="BN86" s="34" t="n">
        <v>1</v>
      </c>
      <c r="BO86" s="34" t="n">
        <v>0</v>
      </c>
      <c r="BP86" s="34" t="n">
        <v>1</v>
      </c>
      <c r="BQ86" s="34" t="s">
        <v>208</v>
      </c>
      <c r="BR86" s="34" t="s">
        <v>200</v>
      </c>
      <c r="BS86" s="34" t="n">
        <v>0.34</v>
      </c>
      <c r="BT86" s="34" t="n">
        <v>0</v>
      </c>
      <c r="BU86" s="34" t="n">
        <v>0.17</v>
      </c>
      <c r="BV86" s="34" t="n">
        <v>0.18</v>
      </c>
      <c r="BW86" s="34" t="n">
        <v>2</v>
      </c>
      <c r="BX86" s="34" t="n">
        <v>0</v>
      </c>
      <c r="BY86" s="34" t="n">
        <v>0</v>
      </c>
      <c r="BZ86" s="34" t="s">
        <v>200</v>
      </c>
      <c r="CA86" s="34" t="s">
        <v>202</v>
      </c>
      <c r="CB86" s="34"/>
      <c r="CC86" s="34" t="n">
        <v>0.3</v>
      </c>
      <c r="CD86" s="34" t="n">
        <v>0.11</v>
      </c>
      <c r="CE86" s="34" t="n">
        <v>0.63</v>
      </c>
      <c r="CF86" s="34" t="n">
        <v>0</v>
      </c>
      <c r="CG86" s="34" t="n">
        <v>1</v>
      </c>
      <c r="CH86" s="34" t="n">
        <v>-6</v>
      </c>
      <c r="CI86" s="34" t="n">
        <v>-7.2</v>
      </c>
      <c r="CJ86" s="34" t="n">
        <v>43</v>
      </c>
      <c r="CK86" s="34" t="n">
        <v>6</v>
      </c>
      <c r="CL86" s="34" t="n">
        <v>0.25</v>
      </c>
      <c r="CM86" s="35" t="n">
        <v>0</v>
      </c>
    </row>
    <row r="87" customFormat="false" ht="15" hidden="false" customHeight="false" outlineLevel="0" collapsed="false">
      <c r="A87" s="3" t="s">
        <v>306</v>
      </c>
      <c r="B87" s="34" t="n">
        <v>39</v>
      </c>
      <c r="C87" s="34" t="s">
        <v>210</v>
      </c>
      <c r="D87" s="34" t="s">
        <v>215</v>
      </c>
      <c r="E87" s="34" t="n">
        <v>1318</v>
      </c>
      <c r="F87" s="34" t="s">
        <v>211</v>
      </c>
      <c r="G87" s="34" t="s">
        <v>200</v>
      </c>
      <c r="H87" s="34" t="n">
        <v>6</v>
      </c>
      <c r="I87" s="34" t="n">
        <v>6</v>
      </c>
      <c r="J87" s="34" t="n">
        <v>33.9</v>
      </c>
      <c r="K87" s="34" t="n">
        <v>69</v>
      </c>
      <c r="L87" s="34" t="n">
        <v>3.4</v>
      </c>
      <c r="M87" s="34" t="n">
        <v>0</v>
      </c>
      <c r="N87" s="34" t="n">
        <v>0.32</v>
      </c>
      <c r="O87" s="34" t="n">
        <v>0.23</v>
      </c>
      <c r="P87" s="34" t="n">
        <v>51</v>
      </c>
      <c r="Q87" s="34" t="n">
        <v>1</v>
      </c>
      <c r="R87" s="34" t="n">
        <v>0.8</v>
      </c>
      <c r="S87" s="34" t="n">
        <v>4</v>
      </c>
      <c r="T87" s="34" t="n">
        <v>166</v>
      </c>
      <c r="U87" s="34" t="n">
        <v>0.67</v>
      </c>
      <c r="V87" s="34" t="n">
        <v>1</v>
      </c>
      <c r="W87" s="34" t="n">
        <v>0</v>
      </c>
      <c r="X87" s="34" t="n">
        <v>195</v>
      </c>
      <c r="Y87" s="34" t="n">
        <v>-3</v>
      </c>
      <c r="Z87" s="34" t="n">
        <v>0</v>
      </c>
      <c r="AA87" s="34" t="n">
        <v>0.12</v>
      </c>
      <c r="AB87" s="34" t="n">
        <v>0.38</v>
      </c>
      <c r="AC87" s="34" t="n">
        <v>4</v>
      </c>
      <c r="AD87" s="34" t="n">
        <v>61</v>
      </c>
      <c r="AE87" s="34" t="n">
        <v>0</v>
      </c>
      <c r="AF87" s="34" t="n">
        <v>0.62</v>
      </c>
      <c r="AG87" s="34" t="n">
        <v>0</v>
      </c>
      <c r="AH87" s="34" t="n">
        <v>196</v>
      </c>
      <c r="AI87" s="34" t="n">
        <v>376</v>
      </c>
      <c r="AJ87" s="34" t="n">
        <v>1.92</v>
      </c>
      <c r="AK87" s="34" t="n">
        <v>17</v>
      </c>
      <c r="AL87" s="34" t="n">
        <v>0.82</v>
      </c>
      <c r="AM87" s="34" t="n">
        <v>-2</v>
      </c>
      <c r="AN87" s="34" t="n">
        <v>3.6</v>
      </c>
      <c r="AO87" s="34" t="n">
        <v>1</v>
      </c>
      <c r="AP87" s="34" t="n">
        <v>93</v>
      </c>
      <c r="AQ87" s="34" t="n">
        <v>16</v>
      </c>
      <c r="AR87" s="34" t="n">
        <v>0.247</v>
      </c>
      <c r="AS87" s="34" t="n">
        <v>2</v>
      </c>
      <c r="AT87" s="34" t="n">
        <v>0.02</v>
      </c>
      <c r="AU87" s="34" t="n">
        <v>35</v>
      </c>
      <c r="AV87" s="34" t="n">
        <v>1616</v>
      </c>
      <c r="AW87" s="34" t="n">
        <v>0.016</v>
      </c>
      <c r="AX87" s="34" t="n">
        <v>1</v>
      </c>
      <c r="AY87" s="34" t="n">
        <v>0.91</v>
      </c>
      <c r="AZ87" s="34" t="n">
        <v>3.7</v>
      </c>
      <c r="BA87" s="34" t="n">
        <v>1.1</v>
      </c>
      <c r="BB87" s="34" t="n">
        <v>0.12</v>
      </c>
      <c r="BC87" s="34" t="s">
        <v>200</v>
      </c>
      <c r="BD87" s="34" t="s">
        <v>207</v>
      </c>
      <c r="BE87" s="34" t="n">
        <v>0</v>
      </c>
      <c r="BF87" s="34" t="n">
        <v>0</v>
      </c>
      <c r="BG87" s="34" t="n">
        <v>1</v>
      </c>
      <c r="BH87" s="34" t="n">
        <v>0</v>
      </c>
      <c r="BI87" s="34" t="n">
        <v>0</v>
      </c>
      <c r="BJ87" s="34"/>
      <c r="BK87" s="34" t="n">
        <v>6.8</v>
      </c>
      <c r="BL87" s="34" t="n">
        <v>0</v>
      </c>
      <c r="BM87" s="34" t="s">
        <v>200</v>
      </c>
      <c r="BN87" s="34" t="n">
        <v>1</v>
      </c>
      <c r="BO87" s="34" t="n">
        <v>0</v>
      </c>
      <c r="BP87" s="34" t="n">
        <v>2</v>
      </c>
      <c r="BQ87" s="34" t="s">
        <v>208</v>
      </c>
      <c r="BR87" s="34" t="s">
        <v>200</v>
      </c>
      <c r="BS87" s="34" t="n">
        <v>0.07</v>
      </c>
      <c r="BT87" s="34" t="n">
        <v>0</v>
      </c>
      <c r="BU87" s="34" t="n">
        <v>0.02</v>
      </c>
      <c r="BV87" s="34" t="n">
        <v>0.07</v>
      </c>
      <c r="BW87" s="34" t="n">
        <v>2</v>
      </c>
      <c r="BX87" s="34" t="n">
        <v>0</v>
      </c>
      <c r="BY87" s="34" t="n">
        <v>0</v>
      </c>
      <c r="BZ87" s="34" t="s">
        <v>200</v>
      </c>
      <c r="CA87" s="34" t="s">
        <v>202</v>
      </c>
      <c r="CB87" s="34"/>
      <c r="CC87" s="34" t="n">
        <v>1.2</v>
      </c>
      <c r="CD87" s="34" t="n">
        <v>0.21</v>
      </c>
      <c r="CE87" s="34" t="n">
        <v>0.87</v>
      </c>
      <c r="CF87" s="34" t="n">
        <v>0</v>
      </c>
      <c r="CG87" s="34" t="n">
        <v>1</v>
      </c>
      <c r="CH87" s="34" t="n">
        <v>-14</v>
      </c>
      <c r="CI87" s="34" t="n">
        <v>0.2</v>
      </c>
      <c r="CJ87" s="34" t="n">
        <v>387</v>
      </c>
      <c r="CK87" s="34" t="n">
        <v>6</v>
      </c>
      <c r="CL87" s="34" t="n">
        <v>0.39</v>
      </c>
      <c r="CM87" s="35" t="n">
        <v>0</v>
      </c>
    </row>
    <row r="88" customFormat="false" ht="15" hidden="false" customHeight="false" outlineLevel="0" collapsed="false">
      <c r="A88" s="3" t="s">
        <v>307</v>
      </c>
      <c r="B88" s="34" t="n">
        <v>46</v>
      </c>
      <c r="C88" s="34" t="s">
        <v>197</v>
      </c>
      <c r="D88" s="34" t="s">
        <v>206</v>
      </c>
      <c r="E88" s="34" t="n">
        <v>772</v>
      </c>
      <c r="F88" s="34" t="s">
        <v>223</v>
      </c>
      <c r="G88" s="34" t="s">
        <v>200</v>
      </c>
      <c r="H88" s="34" t="n">
        <v>9</v>
      </c>
      <c r="I88" s="34" t="n">
        <v>18</v>
      </c>
      <c r="J88" s="34" t="n">
        <v>36.5</v>
      </c>
      <c r="K88" s="34" t="n">
        <v>79</v>
      </c>
      <c r="L88" s="34" t="n">
        <v>11</v>
      </c>
      <c r="M88" s="34" t="n">
        <v>0.06</v>
      </c>
      <c r="N88" s="34" t="n">
        <v>0.46</v>
      </c>
      <c r="O88" s="34" t="n">
        <v>0.12</v>
      </c>
      <c r="P88" s="34" t="n">
        <v>65</v>
      </c>
      <c r="Q88" s="34" t="n">
        <v>2</v>
      </c>
      <c r="R88" s="34" t="n">
        <v>1.5</v>
      </c>
      <c r="S88" s="34" t="n">
        <v>28</v>
      </c>
      <c r="T88" s="34" t="n">
        <v>2058</v>
      </c>
      <c r="U88" s="34" t="n">
        <v>1.56</v>
      </c>
      <c r="V88" s="34" t="n">
        <v>1</v>
      </c>
      <c r="W88" s="34" t="n">
        <v>1</v>
      </c>
      <c r="X88" s="34" t="n">
        <v>29.3</v>
      </c>
      <c r="Y88" s="34" t="n">
        <v>4</v>
      </c>
      <c r="Z88" s="34" t="n">
        <v>0</v>
      </c>
      <c r="AA88" s="34" t="n">
        <v>0.09</v>
      </c>
      <c r="AB88" s="34" t="n">
        <v>0.48</v>
      </c>
      <c r="AC88" s="34" t="n">
        <v>4</v>
      </c>
      <c r="AD88" s="34" t="n">
        <v>31</v>
      </c>
      <c r="AE88" s="34" t="n">
        <v>0</v>
      </c>
      <c r="AF88" s="34" t="n">
        <v>0.51</v>
      </c>
      <c r="AG88" s="34" t="n">
        <v>1</v>
      </c>
      <c r="AH88" s="34" t="n">
        <v>616</v>
      </c>
      <c r="AI88" s="34" t="n">
        <v>882</v>
      </c>
      <c r="AJ88" s="34" t="n">
        <v>1.43</v>
      </c>
      <c r="AK88" s="34" t="n">
        <v>7</v>
      </c>
      <c r="AL88" s="34" t="n">
        <v>0.7</v>
      </c>
      <c r="AM88" s="34" t="n">
        <v>8.3</v>
      </c>
      <c r="AN88" s="34" t="n">
        <v>4.5</v>
      </c>
      <c r="AO88" s="34" t="n">
        <v>1.08</v>
      </c>
      <c r="AP88" s="34" t="n">
        <v>1117</v>
      </c>
      <c r="AQ88" s="34" t="n">
        <v>124</v>
      </c>
      <c r="AR88" s="34" t="n">
        <v>1.266</v>
      </c>
      <c r="AS88" s="34" t="n">
        <v>-27</v>
      </c>
      <c r="AT88" s="34" t="n">
        <v>0.3</v>
      </c>
      <c r="AU88" s="34" t="n">
        <v>341</v>
      </c>
      <c r="AV88" s="34" t="n">
        <v>13190</v>
      </c>
      <c r="AW88" s="34" t="n">
        <v>0.745</v>
      </c>
      <c r="AX88" s="34" t="n">
        <v>1</v>
      </c>
      <c r="AY88" s="34" t="n">
        <v>0.61</v>
      </c>
      <c r="AZ88" s="34" t="n">
        <v>2</v>
      </c>
      <c r="BA88" s="34" t="n">
        <v>2.9</v>
      </c>
      <c r="BB88" s="34" t="n">
        <v>0.05</v>
      </c>
      <c r="BC88" s="34" t="s">
        <v>200</v>
      </c>
      <c r="BD88" s="34" t="s">
        <v>207</v>
      </c>
      <c r="BE88" s="34" t="n">
        <v>0</v>
      </c>
      <c r="BF88" s="34" t="n">
        <v>0</v>
      </c>
      <c r="BG88" s="34" t="n">
        <v>0</v>
      </c>
      <c r="BH88" s="34" t="n">
        <v>0</v>
      </c>
      <c r="BI88" s="34" t="n">
        <v>0</v>
      </c>
      <c r="BJ88" s="34"/>
      <c r="BK88" s="34" t="n">
        <v>6.2</v>
      </c>
      <c r="BL88" s="34" t="n">
        <v>1</v>
      </c>
      <c r="BM88" s="34" t="s">
        <v>200</v>
      </c>
      <c r="BN88" s="34" t="n">
        <v>2</v>
      </c>
      <c r="BO88" s="34" t="n">
        <v>0</v>
      </c>
      <c r="BP88" s="34" t="n">
        <v>1</v>
      </c>
      <c r="BQ88" s="34" t="s">
        <v>208</v>
      </c>
      <c r="BR88" s="34" t="s">
        <v>200</v>
      </c>
      <c r="BS88" s="34" t="n">
        <v>0.34</v>
      </c>
      <c r="BT88" s="34" t="n">
        <v>0</v>
      </c>
      <c r="BU88" s="34" t="n">
        <v>0.24</v>
      </c>
      <c r="BV88" s="34" t="n">
        <v>0.3</v>
      </c>
      <c r="BW88" s="34" t="n">
        <v>1</v>
      </c>
      <c r="BX88" s="34" t="n">
        <v>0</v>
      </c>
      <c r="BY88" s="34" t="n">
        <v>0</v>
      </c>
      <c r="BZ88" s="34" t="s">
        <v>200</v>
      </c>
      <c r="CA88" s="34" t="s">
        <v>202</v>
      </c>
      <c r="CB88" s="34" t="n">
        <v>4</v>
      </c>
      <c r="CC88" s="34" t="n">
        <v>1.6</v>
      </c>
      <c r="CD88" s="34" t="n">
        <v>0.26</v>
      </c>
      <c r="CE88" s="34" t="n">
        <v>0.61</v>
      </c>
      <c r="CF88" s="34" t="n">
        <v>0</v>
      </c>
      <c r="CG88" s="34" t="n">
        <v>1</v>
      </c>
      <c r="CH88" s="34" t="n">
        <v>46</v>
      </c>
      <c r="CI88" s="34" t="n">
        <v>5.6</v>
      </c>
      <c r="CJ88" s="34" t="n">
        <v>860</v>
      </c>
      <c r="CK88" s="34" t="n">
        <v>6</v>
      </c>
      <c r="CL88" s="34" t="n">
        <v>0.43</v>
      </c>
      <c r="CM88" s="35" t="n">
        <v>1</v>
      </c>
    </row>
    <row r="89" customFormat="false" ht="15" hidden="false" customHeight="false" outlineLevel="0" collapsed="false">
      <c r="A89" s="3" t="s">
        <v>308</v>
      </c>
      <c r="B89" s="34" t="n">
        <v>40</v>
      </c>
      <c r="C89" s="34" t="s">
        <v>197</v>
      </c>
      <c r="D89" s="34" t="s">
        <v>217</v>
      </c>
      <c r="E89" s="34" t="n">
        <v>300</v>
      </c>
      <c r="F89" s="34" t="s">
        <v>223</v>
      </c>
      <c r="G89" s="34" t="s">
        <v>200</v>
      </c>
      <c r="H89" s="34" t="n">
        <v>5</v>
      </c>
      <c r="I89" s="34" t="n">
        <v>9</v>
      </c>
      <c r="J89" s="34" t="n">
        <v>18.4</v>
      </c>
      <c r="K89" s="34" t="n">
        <v>35</v>
      </c>
      <c r="L89" s="34" t="n">
        <v>2.8</v>
      </c>
      <c r="M89" s="34" t="n">
        <v>0.2</v>
      </c>
      <c r="N89" s="34" t="n">
        <v>0.33</v>
      </c>
      <c r="O89" s="34" t="n">
        <v>0.16</v>
      </c>
      <c r="P89" s="34" t="n">
        <v>29</v>
      </c>
      <c r="Q89" s="34" t="n">
        <v>1</v>
      </c>
      <c r="R89" s="34" t="n">
        <v>0.6</v>
      </c>
      <c r="S89" s="34" t="n">
        <v>5</v>
      </c>
      <c r="T89" s="34" t="n">
        <v>189</v>
      </c>
      <c r="U89" s="34" t="n">
        <v>0.56</v>
      </c>
      <c r="V89" s="34" t="n">
        <v>2</v>
      </c>
      <c r="W89" s="34" t="n">
        <v>1</v>
      </c>
      <c r="X89" s="34" t="n">
        <v>85.5</v>
      </c>
      <c r="Y89" s="34" t="n">
        <v>-11</v>
      </c>
      <c r="Z89" s="34" t="n">
        <v>1</v>
      </c>
      <c r="AA89" s="34" t="n">
        <v>0.19</v>
      </c>
      <c r="AB89" s="34" t="n">
        <v>0.29</v>
      </c>
      <c r="AC89" s="34" t="n">
        <v>1</v>
      </c>
      <c r="AD89" s="34" t="n">
        <v>168</v>
      </c>
      <c r="AE89" s="34" t="n">
        <v>0</v>
      </c>
      <c r="AF89" s="34" t="n">
        <v>0.55</v>
      </c>
      <c r="AG89" s="34" t="n">
        <v>0</v>
      </c>
      <c r="AH89" s="34" t="n">
        <v>292</v>
      </c>
      <c r="AI89" s="34" t="n">
        <v>395</v>
      </c>
      <c r="AJ89" s="34" t="n">
        <v>1.35</v>
      </c>
      <c r="AK89" s="34" t="n">
        <v>6</v>
      </c>
      <c r="AL89" s="34" t="n">
        <v>0.64</v>
      </c>
      <c r="AM89" s="34" t="n">
        <v>-1.9</v>
      </c>
      <c r="AN89" s="34" t="n">
        <v>2.8</v>
      </c>
      <c r="AO89" s="34" t="n">
        <v>0.78</v>
      </c>
      <c r="AP89" s="34" t="n">
        <v>113</v>
      </c>
      <c r="AQ89" s="34" t="n">
        <v>23</v>
      </c>
      <c r="AR89" s="34" t="n">
        <v>0.286</v>
      </c>
      <c r="AS89" s="34" t="n">
        <v>-37</v>
      </c>
      <c r="AT89" s="34" t="n">
        <v>0.17</v>
      </c>
      <c r="AU89" s="34" t="n">
        <v>38</v>
      </c>
      <c r="AV89" s="34" t="n">
        <v>941</v>
      </c>
      <c r="AW89" s="34" t="n">
        <v>0.075</v>
      </c>
      <c r="AX89" s="34" t="n">
        <v>1</v>
      </c>
      <c r="AY89" s="34" t="n">
        <v>0.51</v>
      </c>
      <c r="AZ89" s="34" t="n">
        <v>2.6</v>
      </c>
      <c r="BA89" s="34" t="n">
        <v>1.1</v>
      </c>
      <c r="BB89" s="34" t="n">
        <v>0.4</v>
      </c>
      <c r="BC89" s="34" t="s">
        <v>200</v>
      </c>
      <c r="BD89" s="34" t="s">
        <v>207</v>
      </c>
      <c r="BE89" s="34" t="n">
        <v>0</v>
      </c>
      <c r="BF89" s="34" t="n">
        <v>0</v>
      </c>
      <c r="BG89" s="34" t="n">
        <v>0</v>
      </c>
      <c r="BH89" s="34" t="n">
        <v>0</v>
      </c>
      <c r="BI89" s="34" t="n">
        <v>0</v>
      </c>
      <c r="BJ89" s="34"/>
      <c r="BK89" s="34" t="n">
        <v>4.2</v>
      </c>
      <c r="BL89" s="34" t="n">
        <v>0</v>
      </c>
      <c r="BM89" s="34" t="s">
        <v>200</v>
      </c>
      <c r="BN89" s="34" t="n">
        <v>1</v>
      </c>
      <c r="BO89" s="34" t="n">
        <v>0</v>
      </c>
      <c r="BP89" s="34" t="n">
        <v>2</v>
      </c>
      <c r="BQ89" s="34" t="s">
        <v>208</v>
      </c>
      <c r="BR89" s="34" t="s">
        <v>200</v>
      </c>
      <c r="BS89" s="34" t="n">
        <v>0.37</v>
      </c>
      <c r="BT89" s="34" t="n">
        <v>0</v>
      </c>
      <c r="BU89" s="34" t="n">
        <v>0.3</v>
      </c>
      <c r="BV89" s="34" t="n">
        <v>0.5</v>
      </c>
      <c r="BW89" s="34" t="n">
        <v>1</v>
      </c>
      <c r="BX89" s="34" t="n">
        <v>1</v>
      </c>
      <c r="BY89" s="34" t="n">
        <v>0</v>
      </c>
      <c r="BZ89" s="34" t="s">
        <v>200</v>
      </c>
      <c r="CA89" s="34" t="s">
        <v>202</v>
      </c>
      <c r="CB89" s="34"/>
      <c r="CC89" s="34" t="n">
        <v>1</v>
      </c>
      <c r="CD89" s="34" t="n">
        <v>0.18</v>
      </c>
      <c r="CE89" s="34" t="n">
        <v>0.48</v>
      </c>
      <c r="CF89" s="34" t="n">
        <v>0</v>
      </c>
      <c r="CG89" s="34" t="n">
        <v>2</v>
      </c>
      <c r="CH89" s="34" t="n">
        <v>25</v>
      </c>
      <c r="CI89" s="34" t="n">
        <v>-3.8</v>
      </c>
      <c r="CJ89" s="34" t="n">
        <v>331</v>
      </c>
      <c r="CK89" s="34" t="n">
        <v>6</v>
      </c>
      <c r="CL89" s="34" t="n">
        <v>0.36</v>
      </c>
      <c r="CM89" s="35" t="n">
        <v>0</v>
      </c>
    </row>
    <row r="90" customFormat="false" ht="15" hidden="false" customHeight="false" outlineLevel="0" collapsed="false">
      <c r="A90" s="3" t="s">
        <v>309</v>
      </c>
      <c r="B90" s="34" t="n">
        <v>42</v>
      </c>
      <c r="C90" s="34" t="s">
        <v>197</v>
      </c>
      <c r="D90" s="34" t="s">
        <v>198</v>
      </c>
      <c r="E90" s="34" t="n">
        <v>1115</v>
      </c>
      <c r="F90" s="34" t="s">
        <v>211</v>
      </c>
      <c r="G90" s="34" t="s">
        <v>200</v>
      </c>
      <c r="H90" s="34" t="n">
        <v>8</v>
      </c>
      <c r="I90" s="34" t="n">
        <v>12</v>
      </c>
      <c r="J90" s="34" t="n">
        <v>15</v>
      </c>
      <c r="K90" s="34" t="n">
        <v>35</v>
      </c>
      <c r="L90" s="34" t="n">
        <v>3</v>
      </c>
      <c r="M90" s="34" t="n">
        <v>0.12</v>
      </c>
      <c r="N90" s="34" t="n">
        <v>0.33</v>
      </c>
      <c r="O90" s="34" t="n">
        <v>0.09</v>
      </c>
      <c r="P90" s="34" t="n">
        <v>30</v>
      </c>
      <c r="Q90" s="34" t="n">
        <v>3</v>
      </c>
      <c r="R90" s="34" t="n">
        <v>0.3</v>
      </c>
      <c r="S90" s="34" t="n">
        <v>17</v>
      </c>
      <c r="T90" s="34" t="n">
        <v>1343</v>
      </c>
      <c r="U90" s="34" t="n">
        <v>1.42</v>
      </c>
      <c r="V90" s="34" t="n">
        <v>2</v>
      </c>
      <c r="W90" s="34" t="n">
        <v>1</v>
      </c>
      <c r="X90" s="34" t="n">
        <v>54.9</v>
      </c>
      <c r="Y90" s="34" t="n">
        <v>-24</v>
      </c>
      <c r="Z90" s="34" t="n">
        <v>0</v>
      </c>
      <c r="AA90" s="34" t="n">
        <v>0.18</v>
      </c>
      <c r="AB90" s="34" t="n">
        <v>0.44</v>
      </c>
      <c r="AC90" s="34" t="n">
        <v>5</v>
      </c>
      <c r="AD90" s="34" t="n">
        <v>95</v>
      </c>
      <c r="AE90" s="34" t="n">
        <v>0</v>
      </c>
      <c r="AF90" s="34" t="n">
        <v>0.57</v>
      </c>
      <c r="AG90" s="34" t="n">
        <v>0</v>
      </c>
      <c r="AH90" s="34" t="n">
        <v>244</v>
      </c>
      <c r="AI90" s="34" t="n">
        <v>337</v>
      </c>
      <c r="AJ90" s="34" t="n">
        <v>1.38</v>
      </c>
      <c r="AK90" s="34" t="n">
        <v>8</v>
      </c>
      <c r="AL90" s="34" t="n">
        <v>0.53</v>
      </c>
      <c r="AM90" s="34" t="n">
        <v>1.5</v>
      </c>
      <c r="AN90" s="34" t="n">
        <v>4.7</v>
      </c>
      <c r="AO90" s="34" t="n">
        <v>0.83</v>
      </c>
      <c r="AP90" s="34" t="n">
        <v>615</v>
      </c>
      <c r="AQ90" s="34" t="n">
        <v>77</v>
      </c>
      <c r="AR90" s="34" t="n">
        <v>1.825</v>
      </c>
      <c r="AS90" s="34" t="n">
        <v>-7</v>
      </c>
      <c r="AT90" s="34" t="n">
        <v>0.22</v>
      </c>
      <c r="AU90" s="34" t="n">
        <v>193</v>
      </c>
      <c r="AV90" s="34" t="n">
        <v>18014</v>
      </c>
      <c r="AW90" s="34" t="n">
        <v>0.102</v>
      </c>
      <c r="AX90" s="34" t="n">
        <v>1</v>
      </c>
      <c r="AY90" s="34" t="n">
        <v>0.1</v>
      </c>
      <c r="AZ90" s="34" t="n">
        <v>3.7</v>
      </c>
      <c r="BA90" s="34" t="n">
        <v>1.1</v>
      </c>
      <c r="BB90" s="34" t="n">
        <v>0</v>
      </c>
      <c r="BC90" s="34" t="s">
        <v>200</v>
      </c>
      <c r="BD90" s="34" t="s">
        <v>207</v>
      </c>
      <c r="BE90" s="34" t="n">
        <v>0</v>
      </c>
      <c r="BF90" s="34" t="n">
        <v>0</v>
      </c>
      <c r="BG90" s="34" t="n">
        <v>0</v>
      </c>
      <c r="BH90" s="34" t="n">
        <v>0</v>
      </c>
      <c r="BI90" s="34" t="n">
        <v>0</v>
      </c>
      <c r="BJ90" s="34"/>
      <c r="BK90" s="34" t="n">
        <v>9.2</v>
      </c>
      <c r="BL90" s="34" t="n">
        <v>0</v>
      </c>
      <c r="BM90" s="34" t="s">
        <v>200</v>
      </c>
      <c r="BN90" s="34" t="n">
        <v>2</v>
      </c>
      <c r="BO90" s="34" t="n">
        <v>0</v>
      </c>
      <c r="BP90" s="34" t="n">
        <v>1</v>
      </c>
      <c r="BQ90" s="34" t="s">
        <v>208</v>
      </c>
      <c r="BR90" s="34" t="s">
        <v>200</v>
      </c>
      <c r="BS90" s="34" t="n">
        <v>0.15</v>
      </c>
      <c r="BT90" s="34" t="n">
        <v>0</v>
      </c>
      <c r="BU90" s="34" t="n">
        <v>0.26</v>
      </c>
      <c r="BV90" s="34" t="n">
        <v>0.29</v>
      </c>
      <c r="BW90" s="34" t="n">
        <v>2</v>
      </c>
      <c r="BX90" s="34" t="n">
        <v>0</v>
      </c>
      <c r="BY90" s="34" t="n">
        <v>0</v>
      </c>
      <c r="BZ90" s="34" t="s">
        <v>200</v>
      </c>
      <c r="CA90" s="34" t="s">
        <v>202</v>
      </c>
      <c r="CB90" s="34"/>
      <c r="CC90" s="34" t="n">
        <v>1.2</v>
      </c>
      <c r="CD90" s="34" t="n">
        <v>0.11</v>
      </c>
      <c r="CE90" s="34" t="n">
        <v>0.46</v>
      </c>
      <c r="CF90" s="34" t="n">
        <v>0</v>
      </c>
      <c r="CG90" s="34" t="n">
        <v>1</v>
      </c>
      <c r="CH90" s="34" t="n">
        <v>2</v>
      </c>
      <c r="CI90" s="34" t="n">
        <v>-1.2</v>
      </c>
      <c r="CJ90" s="34" t="n">
        <v>273</v>
      </c>
      <c r="CK90" s="34" t="n">
        <v>6</v>
      </c>
      <c r="CL90" s="34" t="n">
        <v>0.33</v>
      </c>
      <c r="CM90" s="35" t="n">
        <v>0</v>
      </c>
    </row>
    <row r="91" customFormat="false" ht="15" hidden="false" customHeight="false" outlineLevel="0" collapsed="false">
      <c r="A91" s="3" t="s">
        <v>310</v>
      </c>
      <c r="B91" s="34" t="n">
        <v>49</v>
      </c>
      <c r="C91" s="34" t="s">
        <v>210</v>
      </c>
      <c r="D91" s="34" t="s">
        <v>217</v>
      </c>
      <c r="E91" s="34" t="n">
        <v>684</v>
      </c>
      <c r="F91" s="34" t="s">
        <v>199</v>
      </c>
      <c r="G91" s="34" t="s">
        <v>200</v>
      </c>
      <c r="H91" s="34" t="n">
        <v>1</v>
      </c>
      <c r="I91" s="34" t="n">
        <v>1</v>
      </c>
      <c r="J91" s="34" t="n">
        <v>27.8</v>
      </c>
      <c r="K91" s="34" t="n">
        <v>44</v>
      </c>
      <c r="L91" s="34" t="n">
        <v>0.5</v>
      </c>
      <c r="M91" s="34" t="n">
        <v>0</v>
      </c>
      <c r="N91" s="34" t="n">
        <v>0.16</v>
      </c>
      <c r="O91" s="34" t="n">
        <v>0.03</v>
      </c>
      <c r="P91" s="34" t="n">
        <v>29</v>
      </c>
      <c r="Q91" s="34" t="n">
        <v>1</v>
      </c>
      <c r="R91" s="34" t="n">
        <v>0.3</v>
      </c>
      <c r="S91" s="34" t="n">
        <v>1</v>
      </c>
      <c r="T91" s="34" t="n">
        <v>10</v>
      </c>
      <c r="U91" s="34" t="n">
        <v>1</v>
      </c>
      <c r="V91" s="34" t="n">
        <v>1</v>
      </c>
      <c r="W91" s="34" t="n">
        <v>0</v>
      </c>
      <c r="X91" s="34" t="n">
        <v>1048.1</v>
      </c>
      <c r="Y91" s="34" t="n">
        <v>12</v>
      </c>
      <c r="Z91" s="34" t="n">
        <v>0</v>
      </c>
      <c r="AA91" s="34" t="n">
        <v>0.03</v>
      </c>
      <c r="AB91" s="34" t="n">
        <v>0</v>
      </c>
      <c r="AC91" s="34" t="n">
        <v>3</v>
      </c>
      <c r="AD91" s="34" t="n">
        <v>38</v>
      </c>
      <c r="AE91" s="34" t="n">
        <v>0</v>
      </c>
      <c r="AF91" s="34" t="n">
        <v>1.03</v>
      </c>
      <c r="AG91" s="34" t="n">
        <v>0</v>
      </c>
      <c r="AH91" s="34" t="n">
        <v>19</v>
      </c>
      <c r="AI91" s="34" t="n">
        <v>17</v>
      </c>
      <c r="AJ91" s="34" t="n">
        <v>0.89</v>
      </c>
      <c r="AK91" s="34" t="n">
        <v>5</v>
      </c>
      <c r="AL91" s="34" t="n">
        <v>0.15</v>
      </c>
      <c r="AM91" s="34" t="n">
        <v>-8.9</v>
      </c>
      <c r="AN91" s="34" t="n">
        <v>1.3</v>
      </c>
      <c r="AO91" s="34" t="n">
        <v>0.53</v>
      </c>
      <c r="AP91" s="34" t="n">
        <v>0</v>
      </c>
      <c r="AQ91" s="34" t="n">
        <v>0</v>
      </c>
      <c r="AR91" s="34" t="n">
        <v>0</v>
      </c>
      <c r="AS91" s="34" t="n">
        <v>-11</v>
      </c>
      <c r="AT91" s="34" t="n">
        <v>0</v>
      </c>
      <c r="AU91" s="34" t="n">
        <v>0</v>
      </c>
      <c r="AV91" s="34" t="n">
        <v>0</v>
      </c>
      <c r="AW91" s="34" t="n">
        <v>0</v>
      </c>
      <c r="AX91" s="34" t="n">
        <v>2</v>
      </c>
      <c r="AY91" s="34" t="n">
        <v>0.62</v>
      </c>
      <c r="AZ91" s="34" t="n">
        <v>2</v>
      </c>
      <c r="BA91" s="34" t="n">
        <v>1</v>
      </c>
      <c r="BB91" s="34" t="n">
        <v>0</v>
      </c>
      <c r="BC91" s="34" t="s">
        <v>200</v>
      </c>
      <c r="BD91" s="34" t="s">
        <v>207</v>
      </c>
      <c r="BE91" s="34" t="n">
        <v>0</v>
      </c>
      <c r="BF91" s="34" t="n">
        <v>0</v>
      </c>
      <c r="BG91" s="34" t="n">
        <v>1</v>
      </c>
      <c r="BH91" s="34" t="n">
        <v>0</v>
      </c>
      <c r="BI91" s="34" t="n">
        <v>0</v>
      </c>
      <c r="BJ91" s="34"/>
      <c r="BK91" s="34" t="n">
        <v>6.1</v>
      </c>
      <c r="BL91" s="34" t="n">
        <v>1</v>
      </c>
      <c r="BM91" s="34" t="s">
        <v>200</v>
      </c>
      <c r="BN91" s="34" t="n">
        <v>1</v>
      </c>
      <c r="BO91" s="34" t="n">
        <v>0</v>
      </c>
      <c r="BP91" s="34" t="n">
        <v>1</v>
      </c>
      <c r="BQ91" s="34" t="s">
        <v>208</v>
      </c>
      <c r="BR91" s="34" t="s">
        <v>200</v>
      </c>
      <c r="BS91" s="34" t="n">
        <v>0.04</v>
      </c>
      <c r="BT91" s="34" t="n">
        <v>0</v>
      </c>
      <c r="BU91" s="34" t="n">
        <v>0.13</v>
      </c>
      <c r="BV91" s="34" t="n">
        <v>0</v>
      </c>
      <c r="BW91" s="34" t="n">
        <v>0</v>
      </c>
      <c r="BX91" s="34" t="n">
        <v>0</v>
      </c>
      <c r="BY91" s="34" t="n">
        <v>0</v>
      </c>
      <c r="BZ91" s="34" t="s">
        <v>200</v>
      </c>
      <c r="CA91" s="34" t="s">
        <v>202</v>
      </c>
      <c r="CB91" s="34"/>
      <c r="CC91" s="34" t="n">
        <v>0</v>
      </c>
      <c r="CD91" s="34" t="n">
        <v>0</v>
      </c>
      <c r="CE91" s="34" t="n">
        <v>0.81</v>
      </c>
      <c r="CF91" s="34" t="n">
        <v>0</v>
      </c>
      <c r="CG91" s="34" t="n">
        <v>1</v>
      </c>
      <c r="CH91" s="34" t="n">
        <v>-20</v>
      </c>
      <c r="CI91" s="34" t="n">
        <v>-7.5</v>
      </c>
      <c r="CJ91" s="34" t="n">
        <v>10</v>
      </c>
      <c r="CK91" s="34" t="n">
        <v>6</v>
      </c>
      <c r="CL91" s="34" t="n">
        <v>0.1</v>
      </c>
      <c r="CM91" s="35" t="n">
        <v>0</v>
      </c>
    </row>
    <row r="92" customFormat="false" ht="15" hidden="false" customHeight="false" outlineLevel="0" collapsed="false">
      <c r="A92" s="3" t="s">
        <v>311</v>
      </c>
      <c r="B92" s="34" t="n">
        <v>54</v>
      </c>
      <c r="C92" s="34" t="s">
        <v>210</v>
      </c>
      <c r="D92" s="34" t="s">
        <v>198</v>
      </c>
      <c r="E92" s="34" t="n">
        <v>1253</v>
      </c>
      <c r="F92" s="34" t="s">
        <v>211</v>
      </c>
      <c r="G92" s="34" t="s">
        <v>200</v>
      </c>
      <c r="H92" s="34" t="n">
        <v>10</v>
      </c>
      <c r="I92" s="34" t="n">
        <v>19</v>
      </c>
      <c r="J92" s="34" t="n">
        <v>10.6</v>
      </c>
      <c r="K92" s="34" t="n">
        <v>27</v>
      </c>
      <c r="L92" s="34" t="n">
        <v>3.3</v>
      </c>
      <c r="M92" s="34" t="n">
        <v>0.16</v>
      </c>
      <c r="N92" s="34" t="n">
        <v>0.44</v>
      </c>
      <c r="O92" s="34" t="n">
        <v>0.08</v>
      </c>
      <c r="P92" s="34" t="n">
        <v>27</v>
      </c>
      <c r="Q92" s="34" t="n">
        <v>3</v>
      </c>
      <c r="R92" s="34" t="n">
        <v>2.2</v>
      </c>
      <c r="S92" s="34" t="n">
        <v>16</v>
      </c>
      <c r="T92" s="34" t="n">
        <v>859</v>
      </c>
      <c r="U92" s="34" t="n">
        <v>0.84</v>
      </c>
      <c r="V92" s="34" t="n">
        <v>2</v>
      </c>
      <c r="W92" s="34" t="n">
        <v>0</v>
      </c>
      <c r="X92" s="34" t="n">
        <v>53.8</v>
      </c>
      <c r="Y92" s="34" t="n">
        <v>9</v>
      </c>
      <c r="Z92" s="34" t="n">
        <v>1</v>
      </c>
      <c r="AA92" s="34" t="n">
        <v>0.14</v>
      </c>
      <c r="AB92" s="34" t="n">
        <v>0.39</v>
      </c>
      <c r="AC92" s="34" t="n">
        <v>3</v>
      </c>
      <c r="AD92" s="34" t="n">
        <v>20</v>
      </c>
      <c r="AE92" s="34" t="n">
        <v>0</v>
      </c>
      <c r="AF92" s="34" t="n">
        <v>0.22</v>
      </c>
      <c r="AG92" s="34" t="n">
        <v>0</v>
      </c>
      <c r="AH92" s="34" t="n">
        <v>830</v>
      </c>
      <c r="AI92" s="34" t="n">
        <v>1154</v>
      </c>
      <c r="AJ92" s="34" t="n">
        <v>1.39</v>
      </c>
      <c r="AK92" s="34" t="n">
        <v>14</v>
      </c>
      <c r="AL92" s="34" t="n">
        <v>0.59</v>
      </c>
      <c r="AM92" s="34" t="n">
        <v>11.6</v>
      </c>
      <c r="AN92" s="34" t="n">
        <v>4.5</v>
      </c>
      <c r="AO92" s="34" t="n">
        <v>1.03</v>
      </c>
      <c r="AP92" s="34" t="n">
        <v>715</v>
      </c>
      <c r="AQ92" s="34" t="n">
        <v>72</v>
      </c>
      <c r="AR92" s="34" t="n">
        <v>0.62</v>
      </c>
      <c r="AS92" s="34" t="n">
        <v>14</v>
      </c>
      <c r="AT92" s="34" t="n">
        <v>0</v>
      </c>
      <c r="AU92" s="34" t="n">
        <v>187</v>
      </c>
      <c r="AV92" s="34" t="n">
        <v>16252</v>
      </c>
      <c r="AW92" s="34" t="n">
        <v>0.119</v>
      </c>
      <c r="AX92" s="34" t="n">
        <v>2</v>
      </c>
      <c r="AY92" s="34" t="n">
        <v>0.41</v>
      </c>
      <c r="AZ92" s="34" t="n">
        <v>1.8</v>
      </c>
      <c r="BA92" s="34" t="n">
        <v>1</v>
      </c>
      <c r="BB92" s="34" t="n">
        <v>0.26</v>
      </c>
      <c r="BC92" s="34" t="s">
        <v>200</v>
      </c>
      <c r="BD92" s="34" t="s">
        <v>200</v>
      </c>
      <c r="BE92" s="34" t="n">
        <v>1</v>
      </c>
      <c r="BF92" s="34" t="n">
        <v>0</v>
      </c>
      <c r="BG92" s="34" t="n">
        <v>0</v>
      </c>
      <c r="BH92" s="34" t="n">
        <v>0</v>
      </c>
      <c r="BI92" s="34" t="n">
        <v>0</v>
      </c>
      <c r="BJ92" s="34"/>
      <c r="BK92" s="34" t="n">
        <v>7.6</v>
      </c>
      <c r="BL92" s="34" t="n">
        <v>1</v>
      </c>
      <c r="BM92" s="34" t="s">
        <v>200</v>
      </c>
      <c r="BN92" s="34" t="n">
        <v>1</v>
      </c>
      <c r="BO92" s="34" t="n">
        <v>0</v>
      </c>
      <c r="BP92" s="34" t="n">
        <v>1</v>
      </c>
      <c r="BQ92" s="34" t="s">
        <v>201</v>
      </c>
      <c r="BR92" s="34" t="s">
        <v>200</v>
      </c>
      <c r="BS92" s="34" t="n">
        <v>0.33</v>
      </c>
      <c r="BT92" s="34" t="n">
        <v>0</v>
      </c>
      <c r="BU92" s="34" t="n">
        <v>0.15</v>
      </c>
      <c r="BV92" s="34" t="n">
        <v>0.19</v>
      </c>
      <c r="BW92" s="34" t="n">
        <v>3</v>
      </c>
      <c r="BX92" s="34" t="n">
        <v>0</v>
      </c>
      <c r="BY92" s="34" t="n">
        <v>0</v>
      </c>
      <c r="BZ92" s="34" t="s">
        <v>200</v>
      </c>
      <c r="CA92" s="34" t="s">
        <v>202</v>
      </c>
      <c r="CB92" s="34" t="n">
        <v>2</v>
      </c>
      <c r="CC92" s="34" t="n">
        <v>2.3</v>
      </c>
      <c r="CD92" s="34" t="n">
        <v>0.25</v>
      </c>
      <c r="CE92" s="34" t="n">
        <v>0.59</v>
      </c>
      <c r="CF92" s="34" t="n">
        <v>0</v>
      </c>
      <c r="CG92" s="34" t="n">
        <v>1</v>
      </c>
      <c r="CH92" s="34" t="n">
        <v>41</v>
      </c>
      <c r="CI92" s="34" t="n">
        <v>-3.5</v>
      </c>
      <c r="CJ92" s="34" t="n">
        <v>665</v>
      </c>
      <c r="CK92" s="34" t="n">
        <v>6</v>
      </c>
      <c r="CL92" s="34" t="n">
        <v>0.24</v>
      </c>
      <c r="CM92" s="35" t="n">
        <v>0</v>
      </c>
    </row>
    <row r="93" customFormat="false" ht="15" hidden="false" customHeight="false" outlineLevel="0" collapsed="false">
      <c r="A93" s="3" t="s">
        <v>312</v>
      </c>
      <c r="B93" s="34" t="n">
        <v>51</v>
      </c>
      <c r="C93" s="34" t="s">
        <v>197</v>
      </c>
      <c r="D93" s="34" t="s">
        <v>198</v>
      </c>
      <c r="E93" s="34" t="n">
        <v>1126</v>
      </c>
      <c r="F93" s="34" t="s">
        <v>199</v>
      </c>
      <c r="G93" s="34" t="s">
        <v>200</v>
      </c>
      <c r="H93" s="34" t="n">
        <v>3</v>
      </c>
      <c r="I93" s="34" t="n">
        <v>3</v>
      </c>
      <c r="J93" s="34" t="n">
        <v>25.6</v>
      </c>
      <c r="K93" s="34" t="n">
        <v>52</v>
      </c>
      <c r="L93" s="34" t="n">
        <v>1.3</v>
      </c>
      <c r="M93" s="34" t="n">
        <v>0.17</v>
      </c>
      <c r="N93" s="34" t="n">
        <v>0.48</v>
      </c>
      <c r="O93" s="34" t="n">
        <v>0.22</v>
      </c>
      <c r="P93" s="34" t="n">
        <v>48</v>
      </c>
      <c r="Q93" s="34" t="n">
        <v>3</v>
      </c>
      <c r="R93" s="34" t="n">
        <v>0.1</v>
      </c>
      <c r="S93" s="34" t="n">
        <v>2</v>
      </c>
      <c r="T93" s="34" t="n">
        <v>27</v>
      </c>
      <c r="U93" s="34" t="n">
        <v>0.67</v>
      </c>
      <c r="V93" s="34" t="n">
        <v>1</v>
      </c>
      <c r="W93" s="34" t="n">
        <v>1</v>
      </c>
      <c r="X93" s="34" t="n">
        <v>433</v>
      </c>
      <c r="Y93" s="34" t="n">
        <v>25</v>
      </c>
      <c r="Z93" s="34" t="n">
        <v>0</v>
      </c>
      <c r="AA93" s="34" t="n">
        <v>0.21</v>
      </c>
      <c r="AB93" s="34" t="n">
        <v>0.4</v>
      </c>
      <c r="AC93" s="34" t="n">
        <v>4</v>
      </c>
      <c r="AD93" s="34" t="n">
        <v>47</v>
      </c>
      <c r="AE93" s="34" t="n">
        <v>0</v>
      </c>
      <c r="AF93" s="34" t="n">
        <v>0.82</v>
      </c>
      <c r="AG93" s="34" t="n">
        <v>0</v>
      </c>
      <c r="AH93" s="34" t="n">
        <v>15</v>
      </c>
      <c r="AI93" s="34" t="n">
        <v>28</v>
      </c>
      <c r="AJ93" s="34" t="n">
        <v>1.87</v>
      </c>
      <c r="AK93" s="34" t="n">
        <v>4</v>
      </c>
      <c r="AL93" s="34" t="n">
        <v>0.55</v>
      </c>
      <c r="AM93" s="34" t="n">
        <v>3.9</v>
      </c>
      <c r="AN93" s="34" t="n">
        <v>1.9</v>
      </c>
      <c r="AO93" s="34" t="n">
        <v>1.01</v>
      </c>
      <c r="AP93" s="34" t="n">
        <v>10</v>
      </c>
      <c r="AQ93" s="34" t="n">
        <v>3</v>
      </c>
      <c r="AR93" s="34" t="n">
        <v>0.357</v>
      </c>
      <c r="AS93" s="34" t="n">
        <v>16</v>
      </c>
      <c r="AT93" s="34" t="n">
        <v>0.26</v>
      </c>
      <c r="AU93" s="34" t="n">
        <v>4</v>
      </c>
      <c r="AV93" s="34" t="n">
        <v>112</v>
      </c>
      <c r="AW93" s="34" t="n">
        <v>0.003</v>
      </c>
      <c r="AX93" s="34" t="n">
        <v>2</v>
      </c>
      <c r="AY93" s="34" t="n">
        <v>0.39</v>
      </c>
      <c r="AZ93" s="34" t="n">
        <v>3.4</v>
      </c>
      <c r="BA93" s="34" t="n">
        <v>2.4</v>
      </c>
      <c r="BB93" s="34" t="n">
        <v>0.1</v>
      </c>
      <c r="BC93" s="34" t="s">
        <v>200</v>
      </c>
      <c r="BD93" s="34" t="s">
        <v>200</v>
      </c>
      <c r="BE93" s="34" t="n">
        <v>0</v>
      </c>
      <c r="BF93" s="34" t="n">
        <v>0</v>
      </c>
      <c r="BG93" s="34" t="n">
        <v>0</v>
      </c>
      <c r="BH93" s="34" t="n">
        <v>0</v>
      </c>
      <c r="BI93" s="34" t="n">
        <v>0</v>
      </c>
      <c r="BJ93" s="34"/>
      <c r="BK93" s="34" t="n">
        <v>6.9</v>
      </c>
      <c r="BL93" s="34" t="n">
        <v>1</v>
      </c>
      <c r="BM93" s="34" t="s">
        <v>200</v>
      </c>
      <c r="BN93" s="34" t="n">
        <v>1</v>
      </c>
      <c r="BO93" s="34" t="n">
        <v>1</v>
      </c>
      <c r="BP93" s="34" t="n">
        <v>1</v>
      </c>
      <c r="BQ93" s="34" t="s">
        <v>201</v>
      </c>
      <c r="BR93" s="34" t="s">
        <v>200</v>
      </c>
      <c r="BS93" s="34" t="n">
        <v>0.23</v>
      </c>
      <c r="BT93" s="34" t="n">
        <v>0</v>
      </c>
      <c r="BU93" s="34" t="n">
        <v>0.06</v>
      </c>
      <c r="BV93" s="34" t="n">
        <v>0.36</v>
      </c>
      <c r="BW93" s="34" t="n">
        <v>1</v>
      </c>
      <c r="BX93" s="34" t="n">
        <v>0</v>
      </c>
      <c r="BY93" s="34" t="n">
        <v>0</v>
      </c>
      <c r="BZ93" s="34" t="s">
        <v>200</v>
      </c>
      <c r="CA93" s="34" t="s">
        <v>202</v>
      </c>
      <c r="CB93" s="34"/>
      <c r="CC93" s="34" t="n">
        <v>0.5</v>
      </c>
      <c r="CD93" s="34" t="n">
        <v>0.16</v>
      </c>
      <c r="CE93" s="34" t="n">
        <v>0.66</v>
      </c>
      <c r="CF93" s="34" t="n">
        <v>0</v>
      </c>
      <c r="CG93" s="34" t="n">
        <v>1</v>
      </c>
      <c r="CH93" s="34" t="n">
        <v>-11</v>
      </c>
      <c r="CI93" s="34" t="n">
        <v>-6.2</v>
      </c>
      <c r="CJ93" s="34" t="n">
        <v>26</v>
      </c>
      <c r="CK93" s="34" t="n">
        <v>6</v>
      </c>
      <c r="CL93" s="34" t="n">
        <v>0.05</v>
      </c>
      <c r="CM93" s="35" t="n">
        <v>0</v>
      </c>
    </row>
    <row r="94" customFormat="false" ht="15" hidden="false" customHeight="false" outlineLevel="0" collapsed="false">
      <c r="A94" s="3" t="s">
        <v>313</v>
      </c>
      <c r="B94" s="34" t="n">
        <v>39</v>
      </c>
      <c r="C94" s="34" t="s">
        <v>197</v>
      </c>
      <c r="D94" s="34" t="s">
        <v>217</v>
      </c>
      <c r="E94" s="34" t="n">
        <v>1400</v>
      </c>
      <c r="F94" s="34" t="s">
        <v>211</v>
      </c>
      <c r="G94" s="34" t="s">
        <v>200</v>
      </c>
      <c r="H94" s="34" t="n">
        <v>13</v>
      </c>
      <c r="I94" s="34" t="n">
        <v>22</v>
      </c>
      <c r="J94" s="34" t="n">
        <v>48.3</v>
      </c>
      <c r="K94" s="34" t="n">
        <v>116</v>
      </c>
      <c r="L94" s="34" t="n">
        <v>17.7</v>
      </c>
      <c r="M94" s="34" t="n">
        <v>0.19</v>
      </c>
      <c r="N94" s="34" t="n">
        <v>0.3</v>
      </c>
      <c r="O94" s="34" t="n">
        <v>0.35</v>
      </c>
      <c r="P94" s="34" t="n">
        <v>115</v>
      </c>
      <c r="Q94" s="34" t="n">
        <v>4</v>
      </c>
      <c r="R94" s="34" t="n">
        <v>1.3</v>
      </c>
      <c r="S94" s="34" t="n">
        <v>39</v>
      </c>
      <c r="T94" s="34" t="n">
        <v>3660</v>
      </c>
      <c r="U94" s="34" t="n">
        <v>1.77</v>
      </c>
      <c r="V94" s="34" t="n">
        <v>2</v>
      </c>
      <c r="W94" s="34" t="n">
        <v>3</v>
      </c>
      <c r="X94" s="34" t="n">
        <v>13.3</v>
      </c>
      <c r="Y94" s="34" t="n">
        <v>37</v>
      </c>
      <c r="Z94" s="34" t="n">
        <v>1</v>
      </c>
      <c r="AA94" s="34" t="n">
        <v>0.16</v>
      </c>
      <c r="AB94" s="34" t="n">
        <v>0.69</v>
      </c>
      <c r="AC94" s="34" t="n">
        <v>3</v>
      </c>
      <c r="AD94" s="34" t="n">
        <v>0</v>
      </c>
      <c r="AE94" s="34" t="n">
        <v>1</v>
      </c>
      <c r="AF94" s="34" t="n">
        <v>0.71</v>
      </c>
      <c r="AG94" s="34" t="n">
        <v>1</v>
      </c>
      <c r="AH94" s="34" t="n">
        <v>1400</v>
      </c>
      <c r="AI94" s="34" t="n">
        <v>3072</v>
      </c>
      <c r="AJ94" s="34" t="n">
        <v>2.19</v>
      </c>
      <c r="AK94" s="34" t="n">
        <v>22</v>
      </c>
      <c r="AL94" s="34" t="n">
        <v>0.74</v>
      </c>
      <c r="AM94" s="34" t="n">
        <v>14.6</v>
      </c>
      <c r="AN94" s="34" t="n">
        <v>6.8</v>
      </c>
      <c r="AO94" s="34" t="n">
        <v>1.45</v>
      </c>
      <c r="AP94" s="34" t="n">
        <v>1795</v>
      </c>
      <c r="AQ94" s="34" t="n">
        <v>138</v>
      </c>
      <c r="AR94" s="34" t="n">
        <v>0.584</v>
      </c>
      <c r="AS94" s="34" t="n">
        <v>67</v>
      </c>
      <c r="AT94" s="34" t="n">
        <v>0.31</v>
      </c>
      <c r="AU94" s="34" t="n">
        <v>677</v>
      </c>
      <c r="AV94" s="34" t="n">
        <v>50432</v>
      </c>
      <c r="AW94" s="34" t="n">
        <v>0.299</v>
      </c>
      <c r="AX94" s="34" t="n">
        <v>1</v>
      </c>
      <c r="AY94" s="34" t="n">
        <v>0.22</v>
      </c>
      <c r="AZ94" s="34" t="n">
        <v>3.7</v>
      </c>
      <c r="BA94" s="34" t="n">
        <v>3.6</v>
      </c>
      <c r="BB94" s="34" t="n">
        <v>0.43</v>
      </c>
      <c r="BC94" s="34" t="s">
        <v>207</v>
      </c>
      <c r="BD94" s="34" t="s">
        <v>200</v>
      </c>
      <c r="BE94" s="34" t="n">
        <v>1</v>
      </c>
      <c r="BF94" s="34" t="n">
        <v>1</v>
      </c>
      <c r="BG94" s="34" t="n">
        <v>1</v>
      </c>
      <c r="BH94" s="34" t="n">
        <v>1</v>
      </c>
      <c r="BI94" s="34" t="n">
        <v>0</v>
      </c>
      <c r="BJ94" s="34"/>
      <c r="BK94" s="34" t="n">
        <v>2.3</v>
      </c>
      <c r="BL94" s="34" t="n">
        <v>2</v>
      </c>
      <c r="BM94" s="34" t="s">
        <v>200</v>
      </c>
      <c r="BN94" s="34" t="n">
        <v>3</v>
      </c>
      <c r="BO94" s="34" t="n">
        <v>1</v>
      </c>
      <c r="BP94" s="34" t="n">
        <v>2</v>
      </c>
      <c r="BQ94" s="34" t="s">
        <v>212</v>
      </c>
      <c r="BR94" s="34" t="s">
        <v>200</v>
      </c>
      <c r="BS94" s="34" t="n">
        <v>0.4</v>
      </c>
      <c r="BT94" s="34" t="n">
        <v>1</v>
      </c>
      <c r="BU94" s="34" t="n">
        <v>0.31</v>
      </c>
      <c r="BV94" s="34" t="n">
        <v>0.2</v>
      </c>
      <c r="BW94" s="34" t="n">
        <v>3</v>
      </c>
      <c r="BX94" s="34" t="n">
        <v>1</v>
      </c>
      <c r="BY94" s="34" t="n">
        <v>0</v>
      </c>
      <c r="BZ94" s="34" t="s">
        <v>207</v>
      </c>
      <c r="CA94" s="34" t="s">
        <v>230</v>
      </c>
      <c r="CB94" s="34"/>
      <c r="CC94" s="34" t="n">
        <v>2.1</v>
      </c>
      <c r="CD94" s="34" t="n">
        <v>0.21</v>
      </c>
      <c r="CE94" s="34" t="n">
        <v>0.88</v>
      </c>
      <c r="CF94" s="34" t="n">
        <v>1</v>
      </c>
      <c r="CG94" s="34" t="n">
        <v>2</v>
      </c>
      <c r="CH94" s="34" t="n">
        <v>38</v>
      </c>
      <c r="CI94" s="34" t="n">
        <v>7.4</v>
      </c>
      <c r="CJ94" s="34" t="n">
        <v>3454</v>
      </c>
      <c r="CK94" s="34" t="n">
        <v>6</v>
      </c>
      <c r="CL94" s="34" t="n">
        <v>0.65</v>
      </c>
      <c r="CM94" s="35" t="n">
        <v>1</v>
      </c>
    </row>
    <row r="95" customFormat="false" ht="15" hidden="false" customHeight="false" outlineLevel="0" collapsed="false">
      <c r="A95" s="3" t="s">
        <v>314</v>
      </c>
      <c r="B95" s="34" t="n">
        <v>32</v>
      </c>
      <c r="C95" s="34" t="s">
        <v>210</v>
      </c>
      <c r="D95" s="34" t="s">
        <v>243</v>
      </c>
      <c r="E95" s="34" t="n">
        <v>1062</v>
      </c>
      <c r="F95" s="34" t="s">
        <v>211</v>
      </c>
      <c r="G95" s="34" t="s">
        <v>200</v>
      </c>
      <c r="H95" s="34" t="n">
        <v>15</v>
      </c>
      <c r="I95" s="34" t="n">
        <v>25</v>
      </c>
      <c r="J95" s="34" t="n">
        <v>19.1</v>
      </c>
      <c r="K95" s="34" t="n">
        <v>42</v>
      </c>
      <c r="L95" s="34" t="n">
        <v>7.9</v>
      </c>
      <c r="M95" s="34" t="n">
        <v>0.12</v>
      </c>
      <c r="N95" s="34" t="n">
        <v>0.28</v>
      </c>
      <c r="O95" s="34" t="n">
        <v>0.21</v>
      </c>
      <c r="P95" s="34" t="n">
        <v>35</v>
      </c>
      <c r="Q95" s="34" t="n">
        <v>5</v>
      </c>
      <c r="R95" s="34" t="n">
        <v>1.2</v>
      </c>
      <c r="S95" s="34" t="n">
        <v>36</v>
      </c>
      <c r="T95" s="34" t="n">
        <v>1555</v>
      </c>
      <c r="U95" s="34" t="n">
        <v>1.44</v>
      </c>
      <c r="V95" s="34" t="n">
        <v>2</v>
      </c>
      <c r="W95" s="34" t="n">
        <v>4</v>
      </c>
      <c r="X95" s="34" t="n">
        <v>19.5</v>
      </c>
      <c r="Y95" s="34" t="n">
        <v>32</v>
      </c>
      <c r="Z95" s="34" t="n">
        <v>0</v>
      </c>
      <c r="AA95" s="34" t="n">
        <v>0.04</v>
      </c>
      <c r="AB95" s="34" t="n">
        <v>0.75</v>
      </c>
      <c r="AC95" s="34" t="n">
        <v>0</v>
      </c>
      <c r="AD95" s="34" t="n">
        <v>24</v>
      </c>
      <c r="AE95" s="34" t="n">
        <v>1</v>
      </c>
      <c r="AF95" s="34" t="n">
        <v>0.47</v>
      </c>
      <c r="AG95" s="34" t="n">
        <v>0</v>
      </c>
      <c r="AH95" s="34" t="n">
        <v>1571</v>
      </c>
      <c r="AI95" s="34" t="n">
        <v>3136</v>
      </c>
      <c r="AJ95" s="34" t="n">
        <v>2</v>
      </c>
      <c r="AK95" s="34" t="n">
        <v>19</v>
      </c>
      <c r="AL95" s="34" t="n">
        <v>0.81</v>
      </c>
      <c r="AM95" s="34" t="n">
        <v>-0.7</v>
      </c>
      <c r="AN95" s="34" t="n">
        <v>4</v>
      </c>
      <c r="AO95" s="34" t="n">
        <v>1.05</v>
      </c>
      <c r="AP95" s="34" t="n">
        <v>952</v>
      </c>
      <c r="AQ95" s="34" t="n">
        <v>63</v>
      </c>
      <c r="AR95" s="34" t="n">
        <v>0.304</v>
      </c>
      <c r="AS95" s="34" t="n">
        <v>34</v>
      </c>
      <c r="AT95" s="34" t="n">
        <v>0.39</v>
      </c>
      <c r="AU95" s="34" t="n">
        <v>334</v>
      </c>
      <c r="AV95" s="34" t="n">
        <v>16923</v>
      </c>
      <c r="AW95" s="34" t="n">
        <v>0.159</v>
      </c>
      <c r="AX95" s="34" t="n">
        <v>2</v>
      </c>
      <c r="AY95" s="34" t="n">
        <v>0.77</v>
      </c>
      <c r="AZ95" s="34" t="n">
        <v>2.4</v>
      </c>
      <c r="BA95" s="34" t="n">
        <v>1.4</v>
      </c>
      <c r="BB95" s="34" t="n">
        <v>0.25</v>
      </c>
      <c r="BC95" s="34" t="s">
        <v>200</v>
      </c>
      <c r="BD95" s="34" t="s">
        <v>207</v>
      </c>
      <c r="BE95" s="34" t="n">
        <v>1</v>
      </c>
      <c r="BF95" s="34" t="n">
        <v>0</v>
      </c>
      <c r="BG95" s="34" t="n">
        <v>0</v>
      </c>
      <c r="BH95" s="34" t="n">
        <v>0</v>
      </c>
      <c r="BI95" s="34" t="n">
        <v>0</v>
      </c>
      <c r="BJ95" s="34"/>
      <c r="BK95" s="34" t="n">
        <v>7.1</v>
      </c>
      <c r="BL95" s="34" t="n">
        <v>2</v>
      </c>
      <c r="BM95" s="34" t="s">
        <v>200</v>
      </c>
      <c r="BN95" s="34" t="n">
        <v>3</v>
      </c>
      <c r="BO95" s="34" t="n">
        <v>0</v>
      </c>
      <c r="BP95" s="34" t="n">
        <v>1</v>
      </c>
      <c r="BQ95" s="34" t="s">
        <v>254</v>
      </c>
      <c r="BR95" s="34" t="s">
        <v>200</v>
      </c>
      <c r="BS95" s="34" t="n">
        <v>0.4</v>
      </c>
      <c r="BT95" s="34" t="n">
        <v>0</v>
      </c>
      <c r="BU95" s="34" t="n">
        <v>0.13</v>
      </c>
      <c r="BV95" s="34" t="n">
        <v>0.29</v>
      </c>
      <c r="BW95" s="34" t="n">
        <v>1</v>
      </c>
      <c r="BX95" s="34" t="n">
        <v>0</v>
      </c>
      <c r="BY95" s="34" t="n">
        <v>0</v>
      </c>
      <c r="BZ95" s="34" t="s">
        <v>200</v>
      </c>
      <c r="CA95" s="34" t="s">
        <v>204</v>
      </c>
      <c r="CB95" s="34"/>
      <c r="CC95" s="34" t="n">
        <v>2.3</v>
      </c>
      <c r="CD95" s="34" t="n">
        <v>0.03</v>
      </c>
      <c r="CE95" s="34" t="n">
        <v>0.81</v>
      </c>
      <c r="CF95" s="34" t="n">
        <v>1</v>
      </c>
      <c r="CG95" s="34" t="n">
        <v>2</v>
      </c>
      <c r="CH95" s="34" t="n">
        <v>52</v>
      </c>
      <c r="CI95" s="34" t="n">
        <v>2.9</v>
      </c>
      <c r="CJ95" s="34" t="n">
        <v>3525</v>
      </c>
      <c r="CK95" s="34" t="n">
        <v>6</v>
      </c>
      <c r="CL95" s="34" t="n">
        <v>0.67</v>
      </c>
      <c r="CM95" s="35" t="n">
        <v>0</v>
      </c>
    </row>
    <row r="96" customFormat="false" ht="15" hidden="false" customHeight="false" outlineLevel="0" collapsed="false">
      <c r="A96" s="3" t="s">
        <v>315</v>
      </c>
      <c r="B96" s="34" t="n">
        <v>28</v>
      </c>
      <c r="C96" s="34" t="s">
        <v>210</v>
      </c>
      <c r="D96" s="34" t="s">
        <v>198</v>
      </c>
      <c r="E96" s="34" t="n">
        <v>167</v>
      </c>
      <c r="F96" s="34" t="s">
        <v>211</v>
      </c>
      <c r="G96" s="34" t="s">
        <v>200</v>
      </c>
      <c r="H96" s="34" t="n">
        <v>18</v>
      </c>
      <c r="I96" s="34" t="n">
        <v>35</v>
      </c>
      <c r="J96" s="34" t="n">
        <v>42.9</v>
      </c>
      <c r="K96" s="34" t="n">
        <v>74</v>
      </c>
      <c r="L96" s="34" t="n">
        <v>25</v>
      </c>
      <c r="M96" s="34" t="n">
        <v>0.09</v>
      </c>
      <c r="N96" s="34" t="n">
        <v>0.14</v>
      </c>
      <c r="O96" s="34" t="n">
        <v>0.11</v>
      </c>
      <c r="P96" s="34" t="n">
        <v>59</v>
      </c>
      <c r="Q96" s="34" t="n">
        <v>6</v>
      </c>
      <c r="R96" s="34" t="n">
        <v>0.1</v>
      </c>
      <c r="S96" s="34" t="n">
        <v>24</v>
      </c>
      <c r="T96" s="34" t="n">
        <v>923</v>
      </c>
      <c r="U96" s="34" t="n">
        <v>0.69</v>
      </c>
      <c r="V96" s="34" t="n">
        <v>1</v>
      </c>
      <c r="W96" s="34" t="n">
        <v>0</v>
      </c>
      <c r="X96" s="34" t="n">
        <v>25.1</v>
      </c>
      <c r="Y96" s="34" t="n">
        <v>4</v>
      </c>
      <c r="Z96" s="34" t="n">
        <v>0</v>
      </c>
      <c r="AA96" s="34" t="n">
        <v>0.2</v>
      </c>
      <c r="AB96" s="34" t="n">
        <v>0.15</v>
      </c>
      <c r="AC96" s="34" t="n">
        <v>5</v>
      </c>
      <c r="AD96" s="34" t="n">
        <v>31</v>
      </c>
      <c r="AE96" s="34" t="n">
        <v>0</v>
      </c>
      <c r="AF96" s="34" t="n">
        <v>0.6</v>
      </c>
      <c r="AG96" s="34" t="n">
        <v>0</v>
      </c>
      <c r="AH96" s="34" t="n">
        <v>1472</v>
      </c>
      <c r="AI96" s="34" t="n">
        <v>2141</v>
      </c>
      <c r="AJ96" s="34" t="n">
        <v>1.45</v>
      </c>
      <c r="AK96" s="34" t="n">
        <v>5</v>
      </c>
      <c r="AL96" s="34" t="n">
        <v>0.78</v>
      </c>
      <c r="AM96" s="34" t="n">
        <v>-3.7</v>
      </c>
      <c r="AN96" s="34" t="n">
        <v>4.8</v>
      </c>
      <c r="AO96" s="34" t="n">
        <v>1.03</v>
      </c>
      <c r="AP96" s="34" t="n">
        <v>415</v>
      </c>
      <c r="AQ96" s="34" t="n">
        <v>23</v>
      </c>
      <c r="AR96" s="34" t="n">
        <v>0.194</v>
      </c>
      <c r="AS96" s="34" t="n">
        <v>4</v>
      </c>
      <c r="AT96" s="34" t="n">
        <v>0.19</v>
      </c>
      <c r="AU96" s="34" t="n">
        <v>99</v>
      </c>
      <c r="AV96" s="34" t="n">
        <v>1235</v>
      </c>
      <c r="AW96" s="34" t="n">
        <v>0.069</v>
      </c>
      <c r="AX96" s="34" t="n">
        <v>2</v>
      </c>
      <c r="AY96" s="34" t="n">
        <v>0.68</v>
      </c>
      <c r="AZ96" s="34" t="n">
        <v>3.2</v>
      </c>
      <c r="BA96" s="34" t="n">
        <v>1</v>
      </c>
      <c r="BB96" s="34" t="n">
        <v>0.13</v>
      </c>
      <c r="BC96" s="34" t="s">
        <v>200</v>
      </c>
      <c r="BD96" s="34" t="s">
        <v>200</v>
      </c>
      <c r="BE96" s="34" t="n">
        <v>0</v>
      </c>
      <c r="BF96" s="34" t="n">
        <v>0</v>
      </c>
      <c r="BG96" s="34" t="n">
        <v>1</v>
      </c>
      <c r="BH96" s="34" t="n">
        <v>0</v>
      </c>
      <c r="BI96" s="34" t="n">
        <v>0</v>
      </c>
      <c r="BJ96" s="34"/>
      <c r="BK96" s="34" t="n">
        <v>6.1</v>
      </c>
      <c r="BL96" s="34" t="n">
        <v>0</v>
      </c>
      <c r="BM96" s="34" t="s">
        <v>200</v>
      </c>
      <c r="BN96" s="34" t="n">
        <v>2</v>
      </c>
      <c r="BO96" s="34" t="n">
        <v>0</v>
      </c>
      <c r="BP96" s="34" t="n">
        <v>1</v>
      </c>
      <c r="BQ96" s="34" t="s">
        <v>208</v>
      </c>
      <c r="BR96" s="34" t="s">
        <v>200</v>
      </c>
      <c r="BS96" s="34" t="n">
        <v>0.32</v>
      </c>
      <c r="BT96" s="34" t="n">
        <v>0</v>
      </c>
      <c r="BU96" s="34" t="n">
        <v>0.07</v>
      </c>
      <c r="BV96" s="34" t="n">
        <v>0.21</v>
      </c>
      <c r="BW96" s="34" t="n">
        <v>0</v>
      </c>
      <c r="BX96" s="34" t="n">
        <v>0</v>
      </c>
      <c r="BY96" s="34" t="n">
        <v>0</v>
      </c>
      <c r="BZ96" s="34" t="s">
        <v>200</v>
      </c>
      <c r="CA96" s="34" t="s">
        <v>202</v>
      </c>
      <c r="CB96" s="34"/>
      <c r="CC96" s="34" t="n">
        <v>0.6</v>
      </c>
      <c r="CD96" s="34" t="n">
        <v>0.08</v>
      </c>
      <c r="CE96" s="34" t="n">
        <v>0.46</v>
      </c>
      <c r="CF96" s="34" t="n">
        <v>1</v>
      </c>
      <c r="CG96" s="34" t="n">
        <v>1</v>
      </c>
      <c r="CH96" s="34" t="n">
        <v>21</v>
      </c>
      <c r="CI96" s="34" t="n">
        <v>-1.6</v>
      </c>
      <c r="CJ96" s="34" t="n">
        <v>879</v>
      </c>
      <c r="CK96" s="34" t="n">
        <v>5</v>
      </c>
      <c r="CL96" s="34" t="n">
        <v>0.29</v>
      </c>
      <c r="CM96" s="35" t="n">
        <v>0</v>
      </c>
    </row>
    <row r="97" customFormat="false" ht="15" hidden="false" customHeight="false" outlineLevel="0" collapsed="false">
      <c r="A97" s="3" t="s">
        <v>316</v>
      </c>
      <c r="B97" s="34" t="n">
        <v>47</v>
      </c>
      <c r="C97" s="34" t="s">
        <v>210</v>
      </c>
      <c r="D97" s="34" t="s">
        <v>215</v>
      </c>
      <c r="E97" s="34" t="n">
        <v>832</v>
      </c>
      <c r="F97" s="34" t="s">
        <v>199</v>
      </c>
      <c r="G97" s="34" t="s">
        <v>200</v>
      </c>
      <c r="H97" s="34" t="n">
        <v>7</v>
      </c>
      <c r="I97" s="34" t="n">
        <v>8</v>
      </c>
      <c r="J97" s="34" t="n">
        <v>15.2</v>
      </c>
      <c r="K97" s="34" t="n">
        <v>37</v>
      </c>
      <c r="L97" s="34" t="n">
        <v>2</v>
      </c>
      <c r="M97" s="34" t="n">
        <v>0.19</v>
      </c>
      <c r="N97" s="34" t="n">
        <v>0.39</v>
      </c>
      <c r="O97" s="34" t="n">
        <v>0.23</v>
      </c>
      <c r="P97" s="34" t="n">
        <v>34</v>
      </c>
      <c r="Q97" s="34" t="n">
        <v>5</v>
      </c>
      <c r="R97" s="34" t="n">
        <v>2.8</v>
      </c>
      <c r="S97" s="34" t="n">
        <v>13</v>
      </c>
      <c r="T97" s="34" t="n">
        <v>891</v>
      </c>
      <c r="U97" s="34" t="n">
        <v>1.62</v>
      </c>
      <c r="V97" s="34" t="n">
        <v>1</v>
      </c>
      <c r="W97" s="34" t="n">
        <v>3</v>
      </c>
      <c r="X97" s="34" t="n">
        <v>48.9</v>
      </c>
      <c r="Y97" s="34" t="n">
        <v>44</v>
      </c>
      <c r="Z97" s="34" t="n">
        <v>0</v>
      </c>
      <c r="AA97" s="34" t="n">
        <v>0.18</v>
      </c>
      <c r="AB97" s="34" t="n">
        <v>0.23</v>
      </c>
      <c r="AC97" s="34" t="n">
        <v>3</v>
      </c>
      <c r="AD97" s="34" t="n">
        <v>89</v>
      </c>
      <c r="AE97" s="34" t="n">
        <v>1</v>
      </c>
      <c r="AF97" s="34" t="n">
        <v>0.58</v>
      </c>
      <c r="AG97" s="34" t="n">
        <v>0</v>
      </c>
      <c r="AH97" s="34" t="n">
        <v>313</v>
      </c>
      <c r="AI97" s="34" t="n">
        <v>407</v>
      </c>
      <c r="AJ97" s="34" t="n">
        <v>1.3</v>
      </c>
      <c r="AK97" s="34" t="n">
        <v>9</v>
      </c>
      <c r="AL97" s="34" t="n">
        <v>0.93</v>
      </c>
      <c r="AM97" s="34" t="n">
        <v>11.4</v>
      </c>
      <c r="AN97" s="34" t="n">
        <v>3.4</v>
      </c>
      <c r="AO97" s="34" t="n">
        <v>1.25</v>
      </c>
      <c r="AP97" s="34" t="n">
        <v>555</v>
      </c>
      <c r="AQ97" s="34" t="n">
        <v>79</v>
      </c>
      <c r="AR97" s="34" t="n">
        <v>1.364</v>
      </c>
      <c r="AS97" s="34" t="n">
        <v>-4</v>
      </c>
      <c r="AT97" s="34" t="n">
        <v>0.32</v>
      </c>
      <c r="AU97" s="34" t="n">
        <v>177</v>
      </c>
      <c r="AV97" s="34" t="n">
        <v>5958</v>
      </c>
      <c r="AW97" s="34" t="n">
        <v>0.185</v>
      </c>
      <c r="AX97" s="34" t="n">
        <v>2</v>
      </c>
      <c r="AY97" s="34" t="n">
        <v>0.47</v>
      </c>
      <c r="AZ97" s="34" t="n">
        <v>2.5</v>
      </c>
      <c r="BA97" s="34" t="n">
        <v>2.1</v>
      </c>
      <c r="BB97" s="34" t="n">
        <v>0.59</v>
      </c>
      <c r="BC97" s="34" t="s">
        <v>200</v>
      </c>
      <c r="BD97" s="34" t="s">
        <v>200</v>
      </c>
      <c r="BE97" s="34" t="n">
        <v>1</v>
      </c>
      <c r="BF97" s="34" t="n">
        <v>0</v>
      </c>
      <c r="BG97" s="34" t="n">
        <v>1</v>
      </c>
      <c r="BH97" s="34" t="n">
        <v>1</v>
      </c>
      <c r="BI97" s="34" t="n">
        <v>0</v>
      </c>
      <c r="BJ97" s="34"/>
      <c r="BK97" s="34" t="n">
        <v>5.4</v>
      </c>
      <c r="BL97" s="34" t="n">
        <v>1</v>
      </c>
      <c r="BM97" s="34" t="s">
        <v>200</v>
      </c>
      <c r="BN97" s="34" t="n">
        <v>2</v>
      </c>
      <c r="BO97" s="34" t="n">
        <v>1</v>
      </c>
      <c r="BP97" s="34" t="n">
        <v>2</v>
      </c>
      <c r="BQ97" s="34" t="s">
        <v>212</v>
      </c>
      <c r="BR97" s="34" t="s">
        <v>200</v>
      </c>
      <c r="BS97" s="34" t="n">
        <v>0.24</v>
      </c>
      <c r="BT97" s="34" t="n">
        <v>0</v>
      </c>
      <c r="BU97" s="34" t="n">
        <v>0.36</v>
      </c>
      <c r="BV97" s="34" t="n">
        <v>0.57</v>
      </c>
      <c r="BW97" s="34" t="n">
        <v>1</v>
      </c>
      <c r="BX97" s="34" t="n">
        <v>0</v>
      </c>
      <c r="BY97" s="34" t="n">
        <v>0</v>
      </c>
      <c r="BZ97" s="34" t="s">
        <v>200</v>
      </c>
      <c r="CA97" s="34" t="s">
        <v>256</v>
      </c>
      <c r="CB97" s="34"/>
      <c r="CC97" s="34" t="n">
        <v>2.6</v>
      </c>
      <c r="CD97" s="34" t="n">
        <v>0.05</v>
      </c>
      <c r="CE97" s="34" t="n">
        <v>0.8</v>
      </c>
      <c r="CF97" s="34" t="n">
        <v>1</v>
      </c>
      <c r="CG97" s="34" t="n">
        <v>2</v>
      </c>
      <c r="CH97" s="34" t="n">
        <v>65</v>
      </c>
      <c r="CI97" s="34" t="n">
        <v>-5.5</v>
      </c>
      <c r="CJ97" s="34" t="n">
        <v>466</v>
      </c>
      <c r="CK97" s="34" t="n">
        <v>6</v>
      </c>
      <c r="CL97" s="34" t="n">
        <v>0.59</v>
      </c>
      <c r="CM97" s="35" t="n">
        <v>0</v>
      </c>
    </row>
    <row r="98" customFormat="false" ht="15" hidden="false" customHeight="false" outlineLevel="0" collapsed="false">
      <c r="A98" s="3" t="s">
        <v>317</v>
      </c>
      <c r="B98" s="34" t="n">
        <v>54</v>
      </c>
      <c r="C98" s="34" t="s">
        <v>210</v>
      </c>
      <c r="D98" s="34" t="s">
        <v>215</v>
      </c>
      <c r="E98" s="34" t="n">
        <v>639</v>
      </c>
      <c r="F98" s="34" t="s">
        <v>211</v>
      </c>
      <c r="G98" s="34" t="s">
        <v>200</v>
      </c>
      <c r="H98" s="34" t="n">
        <v>5</v>
      </c>
      <c r="I98" s="34" t="n">
        <v>9</v>
      </c>
      <c r="J98" s="34" t="n">
        <v>40.3</v>
      </c>
      <c r="K98" s="34" t="n">
        <v>69</v>
      </c>
      <c r="L98" s="34" t="n">
        <v>6</v>
      </c>
      <c r="M98" s="34" t="n">
        <v>0.14</v>
      </c>
      <c r="N98" s="34" t="n">
        <v>0.57</v>
      </c>
      <c r="O98" s="34" t="n">
        <v>0.11</v>
      </c>
      <c r="P98" s="34" t="n">
        <v>58</v>
      </c>
      <c r="Q98" s="34" t="n">
        <v>1</v>
      </c>
      <c r="R98" s="34" t="n">
        <v>0.7</v>
      </c>
      <c r="S98" s="34" t="n">
        <v>1</v>
      </c>
      <c r="T98" s="34" t="n">
        <v>60</v>
      </c>
      <c r="U98" s="34" t="n">
        <v>0.11</v>
      </c>
      <c r="V98" s="34" t="n">
        <v>2</v>
      </c>
      <c r="W98" s="34" t="n">
        <v>1</v>
      </c>
      <c r="X98" s="34" t="n">
        <v>859.3</v>
      </c>
      <c r="Y98" s="34" t="n">
        <v>25</v>
      </c>
      <c r="Z98" s="34" t="n">
        <v>0</v>
      </c>
      <c r="AA98" s="34" t="n">
        <v>0.11</v>
      </c>
      <c r="AB98" s="34" t="n">
        <v>0.38</v>
      </c>
      <c r="AC98" s="34" t="n">
        <v>3</v>
      </c>
      <c r="AD98" s="34" t="n">
        <v>46</v>
      </c>
      <c r="AE98" s="34" t="n">
        <v>1</v>
      </c>
      <c r="AF98" s="34" t="n">
        <v>0.94</v>
      </c>
      <c r="AG98" s="34" t="n">
        <v>0</v>
      </c>
      <c r="AH98" s="34" t="n">
        <v>470</v>
      </c>
      <c r="AI98" s="34" t="n">
        <v>375</v>
      </c>
      <c r="AJ98" s="34" t="n">
        <v>0.8</v>
      </c>
      <c r="AK98" s="34" t="n">
        <v>5</v>
      </c>
      <c r="AL98" s="34" t="n">
        <v>0.28</v>
      </c>
      <c r="AM98" s="34" t="n">
        <v>-1</v>
      </c>
      <c r="AN98" s="34" t="n">
        <v>3.1</v>
      </c>
      <c r="AO98" s="34" t="n">
        <v>0.84</v>
      </c>
      <c r="AP98" s="34" t="n">
        <v>10</v>
      </c>
      <c r="AQ98" s="34" t="n">
        <v>2</v>
      </c>
      <c r="AR98" s="34" t="n">
        <v>0.027</v>
      </c>
      <c r="AS98" s="34" t="n">
        <v>-27</v>
      </c>
      <c r="AT98" s="34" t="n">
        <v>0.28</v>
      </c>
      <c r="AU98" s="34" t="n">
        <v>4</v>
      </c>
      <c r="AV98" s="34" t="n">
        <v>104</v>
      </c>
      <c r="AW98" s="34" t="n">
        <v>0.002</v>
      </c>
      <c r="AX98" s="34" t="n">
        <v>1</v>
      </c>
      <c r="AY98" s="34" t="n">
        <v>0.46</v>
      </c>
      <c r="AZ98" s="34" t="n">
        <v>1.8</v>
      </c>
      <c r="BA98" s="34" t="n">
        <v>2.2</v>
      </c>
      <c r="BB98" s="34" t="n">
        <v>0.13</v>
      </c>
      <c r="BC98" s="34" t="s">
        <v>207</v>
      </c>
      <c r="BD98" s="34" t="s">
        <v>200</v>
      </c>
      <c r="BE98" s="34" t="n">
        <v>0</v>
      </c>
      <c r="BF98" s="34" t="n">
        <v>0</v>
      </c>
      <c r="BG98" s="34" t="n">
        <v>1</v>
      </c>
      <c r="BH98" s="34" t="n">
        <v>0</v>
      </c>
      <c r="BI98" s="34" t="n">
        <v>0</v>
      </c>
      <c r="BJ98" s="34"/>
      <c r="BK98" s="34" t="n">
        <v>7.4</v>
      </c>
      <c r="BL98" s="34" t="n">
        <v>0</v>
      </c>
      <c r="BM98" s="34" t="s">
        <v>200</v>
      </c>
      <c r="BN98" s="34" t="n">
        <v>1</v>
      </c>
      <c r="BO98" s="34" t="n">
        <v>0</v>
      </c>
      <c r="BP98" s="34" t="n">
        <v>1</v>
      </c>
      <c r="BQ98" s="34" t="s">
        <v>201</v>
      </c>
      <c r="BR98" s="34" t="s">
        <v>200</v>
      </c>
      <c r="BS98" s="34" t="n">
        <v>0.15</v>
      </c>
      <c r="BT98" s="34" t="n">
        <v>0</v>
      </c>
      <c r="BU98" s="34" t="n">
        <v>0.07</v>
      </c>
      <c r="BV98" s="34" t="n">
        <v>0.18</v>
      </c>
      <c r="BW98" s="34" t="n">
        <v>1</v>
      </c>
      <c r="BX98" s="34" t="n">
        <v>0</v>
      </c>
      <c r="BY98" s="34" t="n">
        <v>0</v>
      </c>
      <c r="BZ98" s="34" t="s">
        <v>200</v>
      </c>
      <c r="CA98" s="34" t="s">
        <v>202</v>
      </c>
      <c r="CB98" s="34"/>
      <c r="CC98" s="34" t="n">
        <v>1.8</v>
      </c>
      <c r="CD98" s="34" t="n">
        <v>0.22</v>
      </c>
      <c r="CE98" s="34" t="n">
        <v>0.7</v>
      </c>
      <c r="CF98" s="34" t="n">
        <v>0</v>
      </c>
      <c r="CG98" s="34" t="n">
        <v>1</v>
      </c>
      <c r="CH98" s="34" t="n">
        <v>9</v>
      </c>
      <c r="CI98" s="34" t="n">
        <v>6.1</v>
      </c>
      <c r="CJ98" s="34" t="n">
        <v>395</v>
      </c>
      <c r="CK98" s="34" t="n">
        <v>6</v>
      </c>
      <c r="CL98" s="34" t="n">
        <v>0.29</v>
      </c>
      <c r="CM98" s="35" t="n">
        <v>0</v>
      </c>
    </row>
    <row r="99" customFormat="false" ht="15" hidden="false" customHeight="false" outlineLevel="0" collapsed="false">
      <c r="A99" s="3" t="s">
        <v>318</v>
      </c>
      <c r="B99" s="34" t="n">
        <v>34</v>
      </c>
      <c r="C99" s="34" t="s">
        <v>210</v>
      </c>
      <c r="D99" s="34" t="s">
        <v>198</v>
      </c>
      <c r="E99" s="34" t="n">
        <v>1211</v>
      </c>
      <c r="F99" s="34" t="s">
        <v>223</v>
      </c>
      <c r="G99" s="34" t="s">
        <v>200</v>
      </c>
      <c r="H99" s="34" t="n">
        <v>9</v>
      </c>
      <c r="I99" s="34" t="n">
        <v>15</v>
      </c>
      <c r="J99" s="34" t="n">
        <v>25.9</v>
      </c>
      <c r="K99" s="34" t="n">
        <v>80</v>
      </c>
      <c r="L99" s="34" t="n">
        <v>6.5</v>
      </c>
      <c r="M99" s="34" t="n">
        <v>0.29</v>
      </c>
      <c r="N99" s="34" t="n">
        <v>0.37</v>
      </c>
      <c r="O99" s="34" t="n">
        <v>0.25</v>
      </c>
      <c r="P99" s="34" t="n">
        <v>59</v>
      </c>
      <c r="Q99" s="34" t="n">
        <v>5</v>
      </c>
      <c r="R99" s="34" t="n">
        <v>1.3</v>
      </c>
      <c r="S99" s="34" t="n">
        <v>22</v>
      </c>
      <c r="T99" s="34" t="n">
        <v>738</v>
      </c>
      <c r="U99" s="34" t="n">
        <v>1.47</v>
      </c>
      <c r="V99" s="34" t="n">
        <v>3</v>
      </c>
      <c r="W99" s="34" t="n">
        <v>5</v>
      </c>
      <c r="X99" s="34" t="n">
        <v>27.5</v>
      </c>
      <c r="Y99" s="34" t="n">
        <v>49</v>
      </c>
      <c r="Z99" s="34" t="n">
        <v>1</v>
      </c>
      <c r="AA99" s="34" t="n">
        <v>0.3</v>
      </c>
      <c r="AB99" s="34" t="n">
        <v>0.7</v>
      </c>
      <c r="AC99" s="34" t="n">
        <v>0</v>
      </c>
      <c r="AD99" s="34" t="n">
        <v>18</v>
      </c>
      <c r="AE99" s="34" t="n">
        <v>1</v>
      </c>
      <c r="AF99" s="34" t="n">
        <v>0.21</v>
      </c>
      <c r="AG99" s="34" t="n">
        <v>1</v>
      </c>
      <c r="AH99" s="34" t="n">
        <v>760</v>
      </c>
      <c r="AI99" s="34" t="n">
        <v>1141</v>
      </c>
      <c r="AJ99" s="34" t="n">
        <v>1.5</v>
      </c>
      <c r="AK99" s="34" t="n">
        <v>19</v>
      </c>
      <c r="AL99" s="34" t="n">
        <v>0.72</v>
      </c>
      <c r="AM99" s="34" t="n">
        <v>7</v>
      </c>
      <c r="AN99" s="34" t="n">
        <v>6.8</v>
      </c>
      <c r="AO99" s="34" t="n">
        <v>1.24</v>
      </c>
      <c r="AP99" s="34" t="n">
        <v>634</v>
      </c>
      <c r="AQ99" s="34" t="n">
        <v>70</v>
      </c>
      <c r="AR99" s="34" t="n">
        <v>0.556</v>
      </c>
      <c r="AS99" s="34" t="n">
        <v>20</v>
      </c>
      <c r="AT99" s="34" t="n">
        <v>0.34</v>
      </c>
      <c r="AU99" s="34" t="n">
        <v>240</v>
      </c>
      <c r="AV99" s="34" t="n">
        <v>11613</v>
      </c>
      <c r="AW99" s="34" t="n">
        <v>0.423</v>
      </c>
      <c r="AX99" s="34" t="n">
        <v>2</v>
      </c>
      <c r="AY99" s="34" t="n">
        <v>0.72</v>
      </c>
      <c r="AZ99" s="34" t="n">
        <v>3.2</v>
      </c>
      <c r="BA99" s="34" t="n">
        <v>1.8</v>
      </c>
      <c r="BB99" s="34" t="n">
        <v>0.28</v>
      </c>
      <c r="BC99" s="34" t="s">
        <v>200</v>
      </c>
      <c r="BD99" s="34" t="s">
        <v>200</v>
      </c>
      <c r="BE99" s="34" t="n">
        <v>1</v>
      </c>
      <c r="BF99" s="34" t="n">
        <v>0</v>
      </c>
      <c r="BG99" s="34" t="n">
        <v>1</v>
      </c>
      <c r="BH99" s="34" t="n">
        <v>1</v>
      </c>
      <c r="BI99" s="34" t="n">
        <v>1</v>
      </c>
      <c r="BJ99" s="34" t="s">
        <v>319</v>
      </c>
      <c r="BK99" s="34" t="n">
        <v>4.4</v>
      </c>
      <c r="BL99" s="34" t="n">
        <v>2</v>
      </c>
      <c r="BM99" s="34" t="s">
        <v>200</v>
      </c>
      <c r="BN99" s="34" t="n">
        <v>2</v>
      </c>
      <c r="BO99" s="34" t="n">
        <v>0</v>
      </c>
      <c r="BP99" s="34" t="n">
        <v>1</v>
      </c>
      <c r="BQ99" s="34" t="s">
        <v>201</v>
      </c>
      <c r="BR99" s="34" t="s">
        <v>200</v>
      </c>
      <c r="BS99" s="34" t="n">
        <v>0.49</v>
      </c>
      <c r="BT99" s="34" t="n">
        <v>0</v>
      </c>
      <c r="BU99" s="34" t="n">
        <v>0.48</v>
      </c>
      <c r="BV99" s="34" t="n">
        <v>0.51</v>
      </c>
      <c r="BW99" s="34" t="n">
        <v>2</v>
      </c>
      <c r="BX99" s="34" t="n">
        <v>0</v>
      </c>
      <c r="BY99" s="34" t="n">
        <v>0</v>
      </c>
      <c r="BZ99" s="34" t="s">
        <v>200</v>
      </c>
      <c r="CA99" s="34" t="s">
        <v>204</v>
      </c>
      <c r="CB99" s="34"/>
      <c r="CC99" s="34" t="n">
        <v>2.2</v>
      </c>
      <c r="CD99" s="34" t="n">
        <v>0.25</v>
      </c>
      <c r="CE99" s="34" t="n">
        <v>0.76</v>
      </c>
      <c r="CF99" s="34" t="n">
        <v>0</v>
      </c>
      <c r="CG99" s="34" t="n">
        <v>2</v>
      </c>
      <c r="CH99" s="34" t="n">
        <v>60</v>
      </c>
      <c r="CI99" s="34" t="n">
        <v>2.7</v>
      </c>
      <c r="CJ99" s="34" t="n">
        <v>900</v>
      </c>
      <c r="CK99" s="34" t="n">
        <v>6</v>
      </c>
      <c r="CL99" s="34" t="n">
        <v>0.64</v>
      </c>
      <c r="CM99" s="35" t="n">
        <v>1</v>
      </c>
    </row>
    <row r="100" customFormat="false" ht="15" hidden="false" customHeight="false" outlineLevel="0" collapsed="false">
      <c r="A100" s="3" t="s">
        <v>320</v>
      </c>
      <c r="B100" s="34" t="n">
        <v>47</v>
      </c>
      <c r="C100" s="34" t="s">
        <v>210</v>
      </c>
      <c r="D100" s="34" t="s">
        <v>215</v>
      </c>
      <c r="E100" s="34" t="n">
        <v>235</v>
      </c>
      <c r="F100" s="34" t="s">
        <v>199</v>
      </c>
      <c r="G100" s="34" t="s">
        <v>207</v>
      </c>
      <c r="H100" s="34" t="n">
        <v>11</v>
      </c>
      <c r="I100" s="34" t="n">
        <v>12</v>
      </c>
      <c r="J100" s="34" t="n">
        <v>34.3</v>
      </c>
      <c r="K100" s="34" t="n">
        <v>58</v>
      </c>
      <c r="L100" s="34" t="n">
        <v>6.9</v>
      </c>
      <c r="M100" s="34" t="n">
        <v>0.2</v>
      </c>
      <c r="N100" s="34" t="n">
        <v>0.43</v>
      </c>
      <c r="O100" s="34" t="n">
        <v>0.17</v>
      </c>
      <c r="P100" s="34" t="n">
        <v>51</v>
      </c>
      <c r="Q100" s="34" t="n">
        <v>1</v>
      </c>
      <c r="R100" s="34" t="n">
        <v>0.9</v>
      </c>
      <c r="S100" s="34" t="n">
        <v>11</v>
      </c>
      <c r="T100" s="34" t="n">
        <v>363</v>
      </c>
      <c r="U100" s="34" t="n">
        <v>0.92</v>
      </c>
      <c r="V100" s="34" t="n">
        <v>1</v>
      </c>
      <c r="W100" s="34" t="n">
        <v>0</v>
      </c>
      <c r="X100" s="34" t="n">
        <v>63.8</v>
      </c>
      <c r="Y100" s="34" t="n">
        <v>-10</v>
      </c>
      <c r="Z100" s="34" t="n">
        <v>0</v>
      </c>
      <c r="AA100" s="34" t="n">
        <v>0.13</v>
      </c>
      <c r="AB100" s="34" t="n">
        <v>0.82</v>
      </c>
      <c r="AC100" s="34" t="n">
        <v>0</v>
      </c>
      <c r="AD100" s="34" t="n">
        <v>6</v>
      </c>
      <c r="AE100" s="34" t="n">
        <v>0</v>
      </c>
      <c r="AF100" s="34" t="n">
        <v>0.61</v>
      </c>
      <c r="AG100" s="34" t="n">
        <v>0</v>
      </c>
      <c r="AH100" s="34" t="n">
        <v>258</v>
      </c>
      <c r="AI100" s="34" t="n">
        <v>416</v>
      </c>
      <c r="AJ100" s="34" t="n">
        <v>1.61</v>
      </c>
      <c r="AK100" s="34" t="n">
        <v>7</v>
      </c>
      <c r="AL100" s="34" t="n">
        <v>0.36</v>
      </c>
      <c r="AM100" s="34" t="n">
        <v>3.6</v>
      </c>
      <c r="AN100" s="34" t="n">
        <v>3.2</v>
      </c>
      <c r="AO100" s="34" t="n">
        <v>1.32</v>
      </c>
      <c r="AP100" s="34" t="n">
        <v>204</v>
      </c>
      <c r="AQ100" s="34" t="n">
        <v>19</v>
      </c>
      <c r="AR100" s="34" t="n">
        <v>0.49</v>
      </c>
      <c r="AS100" s="34" t="n">
        <v>12</v>
      </c>
      <c r="AT100" s="34" t="n">
        <v>0.29</v>
      </c>
      <c r="AU100" s="34" t="n">
        <v>40</v>
      </c>
      <c r="AV100" s="34" t="n">
        <v>885</v>
      </c>
      <c r="AW100" s="34" t="n">
        <v>0.068</v>
      </c>
      <c r="AX100" s="34" t="n">
        <v>2</v>
      </c>
      <c r="AY100" s="34" t="n">
        <v>0.68</v>
      </c>
      <c r="AZ100" s="34" t="n">
        <v>2.5</v>
      </c>
      <c r="BA100" s="34" t="n">
        <v>1.8</v>
      </c>
      <c r="BB100" s="34" t="n">
        <v>0.03</v>
      </c>
      <c r="BC100" s="34" t="s">
        <v>200</v>
      </c>
      <c r="BD100" s="34" t="s">
        <v>207</v>
      </c>
      <c r="BE100" s="34" t="n">
        <v>0</v>
      </c>
      <c r="BF100" s="34" t="n">
        <v>0</v>
      </c>
      <c r="BG100" s="34" t="n">
        <v>0</v>
      </c>
      <c r="BH100" s="34" t="n">
        <v>0</v>
      </c>
      <c r="BI100" s="34" t="n">
        <v>0</v>
      </c>
      <c r="BJ100" s="34"/>
      <c r="BK100" s="34" t="n">
        <v>5.3</v>
      </c>
      <c r="BL100" s="34" t="n">
        <v>1</v>
      </c>
      <c r="BM100" s="34" t="s">
        <v>200</v>
      </c>
      <c r="BN100" s="34" t="n">
        <v>1</v>
      </c>
      <c r="BO100" s="34" t="n">
        <v>0</v>
      </c>
      <c r="BP100" s="34" t="n">
        <v>1</v>
      </c>
      <c r="BQ100" s="34" t="s">
        <v>254</v>
      </c>
      <c r="BR100" s="34" t="s">
        <v>200</v>
      </c>
      <c r="BS100" s="34" t="n">
        <v>0.46</v>
      </c>
      <c r="BT100" s="34" t="n">
        <v>0</v>
      </c>
      <c r="BU100" s="34" t="n">
        <v>0.06</v>
      </c>
      <c r="BV100" s="34" t="n">
        <v>0.17</v>
      </c>
      <c r="BW100" s="34" t="n">
        <v>1</v>
      </c>
      <c r="BX100" s="34" t="n">
        <v>0</v>
      </c>
      <c r="BY100" s="34" t="n">
        <v>0</v>
      </c>
      <c r="BZ100" s="34" t="s">
        <v>200</v>
      </c>
      <c r="CA100" s="34" t="s">
        <v>202</v>
      </c>
      <c r="CB100" s="34" t="n">
        <v>10</v>
      </c>
      <c r="CC100" s="34" t="n">
        <v>0.9</v>
      </c>
      <c r="CD100" s="34" t="n">
        <v>0.09</v>
      </c>
      <c r="CE100" s="34" t="n">
        <v>0.75</v>
      </c>
      <c r="CF100" s="34" t="n">
        <v>1</v>
      </c>
      <c r="CG100" s="34" t="n">
        <v>1</v>
      </c>
      <c r="CH100" s="34" t="n">
        <v>-3</v>
      </c>
      <c r="CI100" s="34" t="n">
        <v>0.5</v>
      </c>
      <c r="CJ100" s="34" t="n">
        <v>494</v>
      </c>
      <c r="CK100" s="34" t="n">
        <v>6</v>
      </c>
      <c r="CL100" s="34" t="n">
        <v>0.3</v>
      </c>
      <c r="CM100" s="35" t="n">
        <v>0</v>
      </c>
    </row>
    <row r="101" customFormat="false" ht="15" hidden="false" customHeight="false" outlineLevel="0" collapsed="false">
      <c r="A101" s="3" t="s">
        <v>321</v>
      </c>
      <c r="B101" s="34" t="n">
        <v>46</v>
      </c>
      <c r="C101" s="34" t="s">
        <v>210</v>
      </c>
      <c r="D101" s="34" t="s">
        <v>227</v>
      </c>
      <c r="E101" s="34" t="n">
        <v>701</v>
      </c>
      <c r="F101" s="34" t="s">
        <v>199</v>
      </c>
      <c r="G101" s="34" t="s">
        <v>200</v>
      </c>
      <c r="H101" s="34" t="n">
        <v>6</v>
      </c>
      <c r="I101" s="34" t="n">
        <v>13</v>
      </c>
      <c r="J101" s="34" t="n">
        <v>38.9</v>
      </c>
      <c r="K101" s="34" t="n">
        <v>56</v>
      </c>
      <c r="L101" s="34" t="n">
        <v>8.4</v>
      </c>
      <c r="M101" s="34" t="n">
        <v>0.25</v>
      </c>
      <c r="N101" s="34" t="n">
        <v>0.35</v>
      </c>
      <c r="O101" s="34" t="n">
        <v>0.2</v>
      </c>
      <c r="P101" s="34" t="n">
        <v>56</v>
      </c>
      <c r="Q101" s="34" t="n">
        <v>5</v>
      </c>
      <c r="R101" s="34" t="n">
        <v>2.2</v>
      </c>
      <c r="S101" s="34" t="n">
        <v>17</v>
      </c>
      <c r="T101" s="34" t="n">
        <v>354</v>
      </c>
      <c r="U101" s="34" t="n">
        <v>1.31</v>
      </c>
      <c r="V101" s="34" t="n">
        <v>1</v>
      </c>
      <c r="W101" s="34" t="n">
        <v>2</v>
      </c>
      <c r="X101" s="34" t="n">
        <v>26.2</v>
      </c>
      <c r="Y101" s="34" t="n">
        <v>4</v>
      </c>
      <c r="Z101" s="34" t="n">
        <v>1</v>
      </c>
      <c r="AA101" s="34" t="n">
        <v>0.18</v>
      </c>
      <c r="AB101" s="34" t="n">
        <v>0.64</v>
      </c>
      <c r="AC101" s="34" t="n">
        <v>0</v>
      </c>
      <c r="AD101" s="34" t="n">
        <v>7</v>
      </c>
      <c r="AE101" s="34" t="n">
        <v>0</v>
      </c>
      <c r="AF101" s="34" t="n">
        <v>0.46</v>
      </c>
      <c r="AG101" s="34" t="n">
        <v>2</v>
      </c>
      <c r="AH101" s="34" t="n">
        <v>461</v>
      </c>
      <c r="AI101" s="34" t="n">
        <v>656</v>
      </c>
      <c r="AJ101" s="34" t="n">
        <v>1.42</v>
      </c>
      <c r="AK101" s="34" t="n">
        <v>7</v>
      </c>
      <c r="AL101" s="34" t="n">
        <v>0.91</v>
      </c>
      <c r="AM101" s="34" t="n">
        <v>-0.8</v>
      </c>
      <c r="AN101" s="34" t="n">
        <v>4.9</v>
      </c>
      <c r="AO101" s="34" t="n">
        <v>1.18</v>
      </c>
      <c r="AP101" s="34" t="n">
        <v>254</v>
      </c>
      <c r="AQ101" s="34" t="n">
        <v>42</v>
      </c>
      <c r="AR101" s="34" t="n">
        <v>0.387</v>
      </c>
      <c r="AS101" s="34" t="n">
        <v>25</v>
      </c>
      <c r="AT101" s="34" t="n">
        <v>0.09</v>
      </c>
      <c r="AU101" s="34" t="n">
        <v>25</v>
      </c>
      <c r="AV101" s="34" t="n">
        <v>4603</v>
      </c>
      <c r="AW101" s="34" t="n">
        <v>0.085</v>
      </c>
      <c r="AX101" s="34" t="n">
        <v>3</v>
      </c>
      <c r="AY101" s="34" t="n">
        <v>0.6</v>
      </c>
      <c r="AZ101" s="34" t="n">
        <v>2.4</v>
      </c>
      <c r="BA101" s="34" t="n">
        <v>1</v>
      </c>
      <c r="BB101" s="34" t="n">
        <v>0.14</v>
      </c>
      <c r="BC101" s="34" t="s">
        <v>200</v>
      </c>
      <c r="BD101" s="34" t="s">
        <v>200</v>
      </c>
      <c r="BE101" s="34" t="n">
        <v>1</v>
      </c>
      <c r="BF101" s="34" t="n">
        <v>0</v>
      </c>
      <c r="BG101" s="34" t="n">
        <v>1</v>
      </c>
      <c r="BH101" s="34" t="n">
        <v>1</v>
      </c>
      <c r="BI101" s="34" t="n">
        <v>0</v>
      </c>
      <c r="BJ101" s="34"/>
      <c r="BK101" s="34" t="n">
        <v>6.1</v>
      </c>
      <c r="BL101" s="34" t="n">
        <v>1</v>
      </c>
      <c r="BM101" s="34" t="s">
        <v>200</v>
      </c>
      <c r="BN101" s="34" t="n">
        <v>2</v>
      </c>
      <c r="BO101" s="34" t="n">
        <v>0</v>
      </c>
      <c r="BP101" s="34" t="n">
        <v>1</v>
      </c>
      <c r="BQ101" s="34" t="s">
        <v>201</v>
      </c>
      <c r="BR101" s="34" t="s">
        <v>200</v>
      </c>
      <c r="BS101" s="34" t="n">
        <v>0.57</v>
      </c>
      <c r="BT101" s="34" t="n">
        <v>0</v>
      </c>
      <c r="BU101" s="34" t="n">
        <v>0.3</v>
      </c>
      <c r="BV101" s="34" t="n">
        <v>0.21</v>
      </c>
      <c r="BW101" s="34" t="n">
        <v>3</v>
      </c>
      <c r="BX101" s="34" t="n">
        <v>0</v>
      </c>
      <c r="BY101" s="34" t="n">
        <v>0</v>
      </c>
      <c r="BZ101" s="34" t="s">
        <v>200</v>
      </c>
      <c r="CA101" s="34" t="s">
        <v>202</v>
      </c>
      <c r="CB101" s="34"/>
      <c r="CC101" s="34" t="n">
        <v>1.7</v>
      </c>
      <c r="CD101" s="34" t="n">
        <v>0.18</v>
      </c>
      <c r="CE101" s="34" t="n">
        <v>0.56</v>
      </c>
      <c r="CF101" s="34" t="n">
        <v>1</v>
      </c>
      <c r="CG101" s="34" t="n">
        <v>1</v>
      </c>
      <c r="CH101" s="34" t="n">
        <v>6</v>
      </c>
      <c r="CI101" s="34" t="n">
        <v>-0.4</v>
      </c>
      <c r="CJ101" s="34" t="n">
        <v>764</v>
      </c>
      <c r="CK101" s="34" t="n">
        <v>6</v>
      </c>
      <c r="CL101" s="34" t="n">
        <v>0.49</v>
      </c>
      <c r="CM101" s="35" t="n">
        <v>1</v>
      </c>
    </row>
    <row r="102" customFormat="false" ht="15" hidden="false" customHeight="false" outlineLevel="0" collapsed="false">
      <c r="A102" s="3" t="s">
        <v>322</v>
      </c>
      <c r="B102" s="34" t="n">
        <v>58</v>
      </c>
      <c r="C102" s="34" t="s">
        <v>197</v>
      </c>
      <c r="D102" s="34" t="s">
        <v>243</v>
      </c>
      <c r="E102" s="34" t="n">
        <v>1239</v>
      </c>
      <c r="F102" s="34" t="s">
        <v>223</v>
      </c>
      <c r="G102" s="34" t="s">
        <v>200</v>
      </c>
      <c r="H102" s="34" t="n">
        <v>1</v>
      </c>
      <c r="I102" s="34" t="n">
        <v>1</v>
      </c>
      <c r="J102" s="34" t="n">
        <v>62.5</v>
      </c>
      <c r="K102" s="34" t="n">
        <v>107</v>
      </c>
      <c r="L102" s="34" t="n">
        <v>1</v>
      </c>
      <c r="M102" s="34" t="n">
        <v>0.11</v>
      </c>
      <c r="N102" s="34" t="n">
        <v>0.2</v>
      </c>
      <c r="O102" s="34" t="n">
        <v>0.12</v>
      </c>
      <c r="P102" s="34" t="n">
        <v>65</v>
      </c>
      <c r="Q102" s="34" t="n">
        <v>1</v>
      </c>
      <c r="R102" s="34" t="n">
        <v>0.7</v>
      </c>
      <c r="S102" s="34" t="n">
        <v>1</v>
      </c>
      <c r="T102" s="34" t="n">
        <v>23</v>
      </c>
      <c r="U102" s="34" t="n">
        <v>1</v>
      </c>
      <c r="V102" s="34" t="n">
        <v>1</v>
      </c>
      <c r="W102" s="34" t="n">
        <v>0</v>
      </c>
      <c r="X102" s="34" t="n">
        <v>697.2</v>
      </c>
      <c r="Y102" s="34" t="n">
        <v>21</v>
      </c>
      <c r="Z102" s="34" t="n">
        <v>1</v>
      </c>
      <c r="AA102" s="34" t="n">
        <v>0.09</v>
      </c>
      <c r="AB102" s="34" t="n">
        <v>0</v>
      </c>
      <c r="AC102" s="34" t="n">
        <v>5</v>
      </c>
      <c r="AD102" s="34" t="n">
        <v>70</v>
      </c>
      <c r="AE102" s="34" t="n">
        <v>0</v>
      </c>
      <c r="AF102" s="34" t="n">
        <v>0.94</v>
      </c>
      <c r="AG102" s="34" t="n">
        <v>0</v>
      </c>
      <c r="AH102" s="34" t="n">
        <v>14</v>
      </c>
      <c r="AI102" s="34" t="n">
        <v>3</v>
      </c>
      <c r="AJ102" s="34" t="n">
        <v>0.21</v>
      </c>
      <c r="AK102" s="34" t="n">
        <v>2</v>
      </c>
      <c r="AL102" s="34" t="n">
        <v>0.37</v>
      </c>
      <c r="AM102" s="34" t="n">
        <v>-1.9</v>
      </c>
      <c r="AN102" s="34" t="n">
        <v>1.6</v>
      </c>
      <c r="AO102" s="34" t="n">
        <v>0.81</v>
      </c>
      <c r="AP102" s="34" t="n">
        <v>1</v>
      </c>
      <c r="AQ102" s="34" t="n">
        <v>1</v>
      </c>
      <c r="AR102" s="34" t="n">
        <v>0.333</v>
      </c>
      <c r="AS102" s="34" t="n">
        <v>-27</v>
      </c>
      <c r="AT102" s="34" t="n">
        <v>0.04</v>
      </c>
      <c r="AU102" s="34" t="n">
        <v>0</v>
      </c>
      <c r="AV102" s="34" t="n">
        <v>23</v>
      </c>
      <c r="AW102" s="34" t="n">
        <v>0.001</v>
      </c>
      <c r="AX102" s="34" t="n">
        <v>1</v>
      </c>
      <c r="AY102" s="34" t="n">
        <v>0.64</v>
      </c>
      <c r="AZ102" s="34" t="n">
        <v>1.9</v>
      </c>
      <c r="BA102" s="34" t="n">
        <v>1</v>
      </c>
      <c r="BB102" s="34" t="n">
        <v>0.16</v>
      </c>
      <c r="BC102" s="34" t="s">
        <v>200</v>
      </c>
      <c r="BD102" s="34" t="s">
        <v>200</v>
      </c>
      <c r="BE102" s="34" t="n">
        <v>1</v>
      </c>
      <c r="BF102" s="34" t="n">
        <v>0</v>
      </c>
      <c r="BG102" s="34" t="n">
        <v>0</v>
      </c>
      <c r="BH102" s="34" t="n">
        <v>0</v>
      </c>
      <c r="BI102" s="34" t="n">
        <v>0</v>
      </c>
      <c r="BJ102" s="34"/>
      <c r="BK102" s="34" t="n">
        <v>7.1</v>
      </c>
      <c r="BL102" s="34" t="n">
        <v>2</v>
      </c>
      <c r="BM102" s="34" t="s">
        <v>200</v>
      </c>
      <c r="BN102" s="34" t="n">
        <v>1</v>
      </c>
      <c r="BO102" s="34" t="n">
        <v>1</v>
      </c>
      <c r="BP102" s="34" t="n">
        <v>1</v>
      </c>
      <c r="BQ102" s="34" t="s">
        <v>208</v>
      </c>
      <c r="BR102" s="34" t="s">
        <v>200</v>
      </c>
      <c r="BS102" s="34" t="n">
        <v>0.01</v>
      </c>
      <c r="BT102" s="34" t="n">
        <v>0</v>
      </c>
      <c r="BU102" s="34" t="n">
        <v>0</v>
      </c>
      <c r="BV102" s="34" t="n">
        <v>0.24</v>
      </c>
      <c r="BW102" s="34" t="n">
        <v>0</v>
      </c>
      <c r="BX102" s="34" t="n">
        <v>0</v>
      </c>
      <c r="BY102" s="34" t="n">
        <v>0</v>
      </c>
      <c r="BZ102" s="34" t="s">
        <v>200</v>
      </c>
      <c r="CA102" s="34" t="s">
        <v>202</v>
      </c>
      <c r="CB102" s="34" t="n">
        <v>0</v>
      </c>
      <c r="CC102" s="34" t="n">
        <v>0</v>
      </c>
      <c r="CD102" s="34" t="n">
        <v>0.25</v>
      </c>
      <c r="CE102" s="34" t="n">
        <v>0.49</v>
      </c>
      <c r="CF102" s="34" t="n">
        <v>0</v>
      </c>
      <c r="CG102" s="34" t="n">
        <v>1</v>
      </c>
      <c r="CH102" s="34" t="n">
        <v>-28</v>
      </c>
      <c r="CI102" s="34" t="n">
        <v>-3.9</v>
      </c>
      <c r="CJ102" s="34" t="n">
        <v>1</v>
      </c>
      <c r="CK102" s="34" t="n">
        <v>6</v>
      </c>
      <c r="CL102" s="34" t="n">
        <v>0.13</v>
      </c>
      <c r="CM102" s="35" t="n">
        <v>0</v>
      </c>
    </row>
    <row r="103" customFormat="false" ht="15" hidden="false" customHeight="false" outlineLevel="0" collapsed="false">
      <c r="A103" s="3" t="s">
        <v>323</v>
      </c>
      <c r="B103" s="34" t="n">
        <v>49</v>
      </c>
      <c r="C103" s="34" t="s">
        <v>210</v>
      </c>
      <c r="D103" s="34" t="s">
        <v>215</v>
      </c>
      <c r="E103" s="34" t="n">
        <v>932</v>
      </c>
      <c r="F103" s="34" t="s">
        <v>211</v>
      </c>
      <c r="G103" s="34" t="s">
        <v>200</v>
      </c>
      <c r="H103" s="34" t="n">
        <v>9</v>
      </c>
      <c r="I103" s="34" t="n">
        <v>10</v>
      </c>
      <c r="J103" s="34" t="n">
        <v>35.6</v>
      </c>
      <c r="K103" s="34" t="n">
        <v>50</v>
      </c>
      <c r="L103" s="34" t="n">
        <v>5.9</v>
      </c>
      <c r="M103" s="34" t="n">
        <v>0.19</v>
      </c>
      <c r="N103" s="34" t="n">
        <v>0.43</v>
      </c>
      <c r="O103" s="34" t="n">
        <v>0.13</v>
      </c>
      <c r="P103" s="34" t="n">
        <v>47</v>
      </c>
      <c r="Q103" s="34" t="n">
        <v>2</v>
      </c>
      <c r="R103" s="34" t="n">
        <v>0.4</v>
      </c>
      <c r="S103" s="34" t="n">
        <v>8</v>
      </c>
      <c r="T103" s="34" t="n">
        <v>345</v>
      </c>
      <c r="U103" s="34" t="n">
        <v>0.8</v>
      </c>
      <c r="V103" s="34" t="n">
        <v>1</v>
      </c>
      <c r="W103" s="34" t="n">
        <v>1</v>
      </c>
      <c r="X103" s="34" t="n">
        <v>91.6</v>
      </c>
      <c r="Y103" s="34" t="n">
        <v>12</v>
      </c>
      <c r="Z103" s="34" t="n">
        <v>0</v>
      </c>
      <c r="AA103" s="34" t="n">
        <v>0.17</v>
      </c>
      <c r="AB103" s="34" t="n">
        <v>0.63</v>
      </c>
      <c r="AC103" s="34" t="n">
        <v>2</v>
      </c>
      <c r="AD103" s="34" t="n">
        <v>48</v>
      </c>
      <c r="AE103" s="34" t="n">
        <v>0</v>
      </c>
      <c r="AF103" s="34" t="n">
        <v>0.55</v>
      </c>
      <c r="AG103" s="34" t="n">
        <v>0</v>
      </c>
      <c r="AH103" s="34" t="n">
        <v>617</v>
      </c>
      <c r="AI103" s="34" t="n">
        <v>1142</v>
      </c>
      <c r="AJ103" s="34" t="n">
        <v>1.85</v>
      </c>
      <c r="AK103" s="34" t="n">
        <v>19</v>
      </c>
      <c r="AL103" s="34" t="n">
        <v>0.79</v>
      </c>
      <c r="AM103" s="34" t="n">
        <v>4.2</v>
      </c>
      <c r="AN103" s="34" t="n">
        <v>2.2</v>
      </c>
      <c r="AO103" s="34" t="n">
        <v>1.02</v>
      </c>
      <c r="AP103" s="34" t="n">
        <v>191</v>
      </c>
      <c r="AQ103" s="34" t="n">
        <v>21</v>
      </c>
      <c r="AR103" s="34" t="n">
        <v>0.167</v>
      </c>
      <c r="AS103" s="34" t="n">
        <v>10</v>
      </c>
      <c r="AT103" s="34" t="n">
        <v>0.18</v>
      </c>
      <c r="AU103" s="34" t="n">
        <v>26</v>
      </c>
      <c r="AV103" s="34" t="n">
        <v>947</v>
      </c>
      <c r="AW103" s="34" t="n">
        <v>0.032</v>
      </c>
      <c r="AX103" s="34" t="n">
        <v>1</v>
      </c>
      <c r="AY103" s="34" t="n">
        <v>0.49</v>
      </c>
      <c r="AZ103" s="34" t="n">
        <v>2.3</v>
      </c>
      <c r="BA103" s="34" t="n">
        <v>2.7</v>
      </c>
      <c r="BB103" s="34" t="n">
        <v>0.32</v>
      </c>
      <c r="BC103" s="34" t="s">
        <v>207</v>
      </c>
      <c r="BD103" s="34" t="s">
        <v>200</v>
      </c>
      <c r="BE103" s="34" t="n">
        <v>0</v>
      </c>
      <c r="BF103" s="34" t="n">
        <v>0</v>
      </c>
      <c r="BG103" s="34" t="n">
        <v>0</v>
      </c>
      <c r="BH103" s="34" t="n">
        <v>0</v>
      </c>
      <c r="BI103" s="34" t="n">
        <v>0</v>
      </c>
      <c r="BJ103" s="34"/>
      <c r="BK103" s="34" t="n">
        <v>5.6</v>
      </c>
      <c r="BL103" s="34" t="n">
        <v>0</v>
      </c>
      <c r="BM103" s="34" t="s">
        <v>200</v>
      </c>
      <c r="BN103" s="34" t="n">
        <v>3</v>
      </c>
      <c r="BO103" s="34" t="n">
        <v>0</v>
      </c>
      <c r="BP103" s="34" t="n">
        <v>2</v>
      </c>
      <c r="BQ103" s="34" t="s">
        <v>208</v>
      </c>
      <c r="BR103" s="34" t="s">
        <v>200</v>
      </c>
      <c r="BS103" s="34" t="n">
        <v>0.5</v>
      </c>
      <c r="BT103" s="34" t="n">
        <v>0</v>
      </c>
      <c r="BU103" s="34" t="n">
        <v>0.25</v>
      </c>
      <c r="BV103" s="34" t="n">
        <v>0.36</v>
      </c>
      <c r="BW103" s="34" t="n">
        <v>4</v>
      </c>
      <c r="BX103" s="34" t="n">
        <v>1</v>
      </c>
      <c r="BY103" s="34" t="n">
        <v>0</v>
      </c>
      <c r="BZ103" s="34" t="s">
        <v>200</v>
      </c>
      <c r="CA103" s="34" t="s">
        <v>202</v>
      </c>
      <c r="CB103" s="34"/>
      <c r="CC103" s="34" t="n">
        <v>2.6</v>
      </c>
      <c r="CD103" s="34" t="n">
        <v>0.27</v>
      </c>
      <c r="CE103" s="34" t="n">
        <v>0.55</v>
      </c>
      <c r="CF103" s="34" t="n">
        <v>0</v>
      </c>
      <c r="CG103" s="34" t="n">
        <v>2</v>
      </c>
      <c r="CH103" s="34" t="n">
        <v>-43</v>
      </c>
      <c r="CI103" s="34" t="n">
        <v>-3</v>
      </c>
      <c r="CJ103" s="34" t="n">
        <v>801</v>
      </c>
      <c r="CK103" s="34" t="n">
        <v>6</v>
      </c>
      <c r="CL103" s="34" t="n">
        <v>0.19</v>
      </c>
      <c r="CM103" s="35" t="n">
        <v>1</v>
      </c>
    </row>
    <row r="104" customFormat="false" ht="15" hidden="false" customHeight="false" outlineLevel="0" collapsed="false">
      <c r="A104" s="3" t="s">
        <v>324</v>
      </c>
      <c r="B104" s="34" t="n">
        <v>48</v>
      </c>
      <c r="C104" s="34" t="s">
        <v>197</v>
      </c>
      <c r="D104" s="34" t="s">
        <v>227</v>
      </c>
      <c r="E104" s="34" t="n">
        <v>61</v>
      </c>
      <c r="F104" s="34" t="s">
        <v>199</v>
      </c>
      <c r="G104" s="34" t="s">
        <v>200</v>
      </c>
      <c r="H104" s="34" t="n">
        <v>1</v>
      </c>
      <c r="I104" s="34" t="n">
        <v>1</v>
      </c>
      <c r="J104" s="34" t="n">
        <v>44.9</v>
      </c>
      <c r="K104" s="34" t="n">
        <v>89</v>
      </c>
      <c r="L104" s="34" t="n">
        <v>0.7</v>
      </c>
      <c r="M104" s="34" t="n">
        <v>0</v>
      </c>
      <c r="N104" s="34" t="n">
        <v>0.18</v>
      </c>
      <c r="O104" s="34" t="n">
        <v>0.04</v>
      </c>
      <c r="P104" s="34" t="n">
        <v>75</v>
      </c>
      <c r="Q104" s="34" t="n">
        <v>1</v>
      </c>
      <c r="R104" s="34" t="n">
        <v>0.8</v>
      </c>
      <c r="S104" s="34" t="n">
        <v>1</v>
      </c>
      <c r="T104" s="34" t="n">
        <v>10</v>
      </c>
      <c r="U104" s="34" t="n">
        <v>1</v>
      </c>
      <c r="V104" s="34" t="n">
        <v>1</v>
      </c>
      <c r="W104" s="34" t="n">
        <v>1</v>
      </c>
      <c r="X104" s="34" t="n">
        <v>618.5</v>
      </c>
      <c r="Y104" s="34" t="n">
        <v>-49</v>
      </c>
      <c r="Z104" s="34" t="n">
        <v>0</v>
      </c>
      <c r="AA104" s="34" t="n">
        <v>0</v>
      </c>
      <c r="AB104" s="34" t="n">
        <v>0</v>
      </c>
      <c r="AC104" s="34" t="n">
        <v>3</v>
      </c>
      <c r="AD104" s="34" t="n">
        <v>122</v>
      </c>
      <c r="AE104" s="34" t="n">
        <v>0</v>
      </c>
      <c r="AF104" s="34" t="n">
        <v>1.04</v>
      </c>
      <c r="AG104" s="34" t="n">
        <v>0</v>
      </c>
      <c r="AH104" s="34" t="n">
        <v>24</v>
      </c>
      <c r="AI104" s="34" t="n">
        <v>19</v>
      </c>
      <c r="AJ104" s="34" t="n">
        <v>0.79</v>
      </c>
      <c r="AK104" s="34" t="n">
        <v>4</v>
      </c>
      <c r="AL104" s="34" t="n">
        <v>0.1</v>
      </c>
      <c r="AM104" s="34" t="n">
        <v>-5.7</v>
      </c>
      <c r="AN104" s="34" t="n">
        <v>1.8</v>
      </c>
      <c r="AO104" s="34" t="n">
        <v>0.58</v>
      </c>
      <c r="AP104" s="34" t="n">
        <v>1</v>
      </c>
      <c r="AQ104" s="34" t="n">
        <v>1</v>
      </c>
      <c r="AR104" s="34" t="n">
        <v>0.053</v>
      </c>
      <c r="AS104" s="34" t="n">
        <v>-21</v>
      </c>
      <c r="AT104" s="34" t="n">
        <v>0</v>
      </c>
      <c r="AU104" s="34" t="n">
        <v>0</v>
      </c>
      <c r="AV104" s="34" t="n">
        <v>1</v>
      </c>
      <c r="AW104" s="34" t="n">
        <v>0</v>
      </c>
      <c r="AX104" s="34" t="n">
        <v>2</v>
      </c>
      <c r="AY104" s="34" t="n">
        <v>0.11</v>
      </c>
      <c r="AZ104" s="34" t="n">
        <v>2</v>
      </c>
      <c r="BA104" s="34" t="n">
        <v>1.2</v>
      </c>
      <c r="BB104" s="34" t="n">
        <v>0.03</v>
      </c>
      <c r="BC104" s="34" t="s">
        <v>200</v>
      </c>
      <c r="BD104" s="34" t="s">
        <v>200</v>
      </c>
      <c r="BE104" s="34" t="n">
        <v>1</v>
      </c>
      <c r="BF104" s="34" t="n">
        <v>0</v>
      </c>
      <c r="BG104" s="34" t="n">
        <v>0</v>
      </c>
      <c r="BH104" s="34" t="n">
        <v>0</v>
      </c>
      <c r="BI104" s="34" t="n">
        <v>0</v>
      </c>
      <c r="BJ104" s="34"/>
      <c r="BK104" s="34" t="n">
        <v>7.2</v>
      </c>
      <c r="BL104" s="34" t="n">
        <v>0</v>
      </c>
      <c r="BM104" s="34" t="s">
        <v>200</v>
      </c>
      <c r="BN104" s="34" t="n">
        <v>1</v>
      </c>
      <c r="BO104" s="34" t="n">
        <v>0</v>
      </c>
      <c r="BP104" s="34" t="n">
        <v>1</v>
      </c>
      <c r="BQ104" s="34" t="s">
        <v>208</v>
      </c>
      <c r="BR104" s="34" t="s">
        <v>200</v>
      </c>
      <c r="BS104" s="34" t="n">
        <v>0.2</v>
      </c>
      <c r="BT104" s="34" t="n">
        <v>0</v>
      </c>
      <c r="BU104" s="34" t="n">
        <v>0</v>
      </c>
      <c r="BV104" s="34" t="n">
        <v>0</v>
      </c>
      <c r="BW104" s="34" t="n">
        <v>0</v>
      </c>
      <c r="BX104" s="34" t="n">
        <v>0</v>
      </c>
      <c r="BY104" s="34" t="n">
        <v>0</v>
      </c>
      <c r="BZ104" s="34" t="s">
        <v>200</v>
      </c>
      <c r="CA104" s="34" t="s">
        <v>202</v>
      </c>
      <c r="CB104" s="34"/>
      <c r="CC104" s="34" t="n">
        <v>0.2</v>
      </c>
      <c r="CD104" s="34" t="n">
        <v>0</v>
      </c>
      <c r="CE104" s="34" t="n">
        <v>0.58</v>
      </c>
      <c r="CF104" s="34" t="n">
        <v>0</v>
      </c>
      <c r="CG104" s="34" t="n">
        <v>1</v>
      </c>
      <c r="CH104" s="34" t="n">
        <v>-30</v>
      </c>
      <c r="CI104" s="34" t="n">
        <v>-7</v>
      </c>
      <c r="CJ104" s="34" t="n">
        <v>12</v>
      </c>
      <c r="CK104" s="34" t="n">
        <v>2</v>
      </c>
      <c r="CL104" s="34" t="n">
        <v>0.09</v>
      </c>
      <c r="CM104" s="35" t="n">
        <v>0</v>
      </c>
    </row>
    <row r="105" customFormat="false" ht="15" hidden="false" customHeight="false" outlineLevel="0" collapsed="false">
      <c r="A105" s="3" t="s">
        <v>325</v>
      </c>
      <c r="B105" s="34" t="n">
        <v>69</v>
      </c>
      <c r="C105" s="34" t="s">
        <v>210</v>
      </c>
      <c r="D105" s="34" t="s">
        <v>215</v>
      </c>
      <c r="E105" s="34" t="n">
        <v>1229</v>
      </c>
      <c r="F105" s="34" t="s">
        <v>223</v>
      </c>
      <c r="G105" s="34" t="s">
        <v>200</v>
      </c>
      <c r="H105" s="34" t="n">
        <v>1</v>
      </c>
      <c r="I105" s="34" t="n">
        <v>1</v>
      </c>
      <c r="J105" s="34" t="n">
        <v>33.5</v>
      </c>
      <c r="K105" s="34" t="n">
        <v>81</v>
      </c>
      <c r="L105" s="34" t="n">
        <v>0.6</v>
      </c>
      <c r="M105" s="34" t="n">
        <v>0</v>
      </c>
      <c r="N105" s="34" t="n">
        <v>0.28</v>
      </c>
      <c r="O105" s="34" t="n">
        <v>0</v>
      </c>
      <c r="P105" s="34" t="n">
        <v>64</v>
      </c>
      <c r="Q105" s="34" t="n">
        <v>1</v>
      </c>
      <c r="R105" s="34" t="n">
        <v>0.9</v>
      </c>
      <c r="S105" s="34" t="n">
        <v>1</v>
      </c>
      <c r="T105" s="34" t="n">
        <v>10</v>
      </c>
      <c r="U105" s="34" t="n">
        <v>1</v>
      </c>
      <c r="V105" s="34" t="n">
        <v>2</v>
      </c>
      <c r="W105" s="34" t="n">
        <v>1</v>
      </c>
      <c r="X105" s="34" t="n">
        <v>616.3</v>
      </c>
      <c r="Y105" s="34" t="n">
        <v>-7</v>
      </c>
      <c r="Z105" s="34" t="n">
        <v>1</v>
      </c>
      <c r="AA105" s="34" t="n">
        <v>0.06</v>
      </c>
      <c r="AB105" s="34" t="n">
        <v>0</v>
      </c>
      <c r="AC105" s="34" t="n">
        <v>4</v>
      </c>
      <c r="AD105" s="34" t="n">
        <v>55</v>
      </c>
      <c r="AE105" s="34" t="n">
        <v>0</v>
      </c>
      <c r="AF105" s="34" t="n">
        <v>0.94</v>
      </c>
      <c r="AG105" s="34" t="n">
        <v>0</v>
      </c>
      <c r="AH105" s="34" t="n">
        <v>5</v>
      </c>
      <c r="AI105" s="34" t="n">
        <v>1</v>
      </c>
      <c r="AJ105" s="34" t="n">
        <v>0.2</v>
      </c>
      <c r="AK105" s="34" t="n">
        <v>0</v>
      </c>
      <c r="AL105" s="34" t="n">
        <v>0.1</v>
      </c>
      <c r="AM105" s="34" t="n">
        <v>-13.6</v>
      </c>
      <c r="AN105" s="34" t="n">
        <v>1.4</v>
      </c>
      <c r="AO105" s="34" t="n">
        <v>0.5</v>
      </c>
      <c r="AP105" s="34" t="n">
        <v>3</v>
      </c>
      <c r="AQ105" s="34" t="n">
        <v>3</v>
      </c>
      <c r="AR105" s="34" t="n">
        <v>3</v>
      </c>
      <c r="AS105" s="34" t="n">
        <v>-41</v>
      </c>
      <c r="AT105" s="34" t="n">
        <v>0</v>
      </c>
      <c r="AU105" s="34" t="n">
        <v>1</v>
      </c>
      <c r="AV105" s="34" t="n">
        <v>21</v>
      </c>
      <c r="AW105" s="34" t="n">
        <v>0.002</v>
      </c>
      <c r="AX105" s="34" t="n">
        <v>1</v>
      </c>
      <c r="AY105" s="34" t="n">
        <v>0.09</v>
      </c>
      <c r="AZ105" s="34" t="n">
        <v>1.7</v>
      </c>
      <c r="BA105" s="34" t="n">
        <v>1</v>
      </c>
      <c r="BB105" s="34" t="n">
        <v>0</v>
      </c>
      <c r="BC105" s="34" t="s">
        <v>200</v>
      </c>
      <c r="BD105" s="34" t="s">
        <v>207</v>
      </c>
      <c r="BE105" s="34" t="n">
        <v>0</v>
      </c>
      <c r="BF105" s="34" t="n">
        <v>1</v>
      </c>
      <c r="BG105" s="34" t="n">
        <v>1</v>
      </c>
      <c r="BH105" s="34" t="n">
        <v>0</v>
      </c>
      <c r="BI105" s="34" t="n">
        <v>0</v>
      </c>
      <c r="BJ105" s="34"/>
      <c r="BK105" s="34" t="n">
        <v>6.1</v>
      </c>
      <c r="BL105" s="34" t="n">
        <v>0</v>
      </c>
      <c r="BM105" s="34" t="s">
        <v>200</v>
      </c>
      <c r="BN105" s="34" t="n">
        <v>1</v>
      </c>
      <c r="BO105" s="34" t="n">
        <v>0</v>
      </c>
      <c r="BP105" s="34" t="n">
        <v>0</v>
      </c>
      <c r="BQ105" s="34" t="s">
        <v>201</v>
      </c>
      <c r="BR105" s="34" t="s">
        <v>200</v>
      </c>
      <c r="BS105" s="34" t="n">
        <v>0.05</v>
      </c>
      <c r="BT105" s="34" t="n">
        <v>1</v>
      </c>
      <c r="BU105" s="34" t="n">
        <v>0</v>
      </c>
      <c r="BV105" s="34" t="n">
        <v>0.12</v>
      </c>
      <c r="BW105" s="34" t="n">
        <v>0</v>
      </c>
      <c r="BX105" s="34" t="n">
        <v>0</v>
      </c>
      <c r="BY105" s="34" t="n">
        <v>0</v>
      </c>
      <c r="BZ105" s="34" t="s">
        <v>200</v>
      </c>
      <c r="CA105" s="34" t="s">
        <v>202</v>
      </c>
      <c r="CB105" s="34"/>
      <c r="CC105" s="34" t="n">
        <v>0</v>
      </c>
      <c r="CD105" s="34" t="n">
        <v>0</v>
      </c>
      <c r="CE105" s="34" t="n">
        <v>0.34</v>
      </c>
      <c r="CF105" s="34" t="n">
        <v>0</v>
      </c>
      <c r="CG105" s="34" t="n">
        <v>1</v>
      </c>
      <c r="CH105" s="34" t="n">
        <v>-27</v>
      </c>
      <c r="CI105" s="34" t="n">
        <v>-9.8</v>
      </c>
      <c r="CJ105" s="34" t="n">
        <v>0</v>
      </c>
      <c r="CK105" s="34" t="n">
        <v>6</v>
      </c>
      <c r="CL105" s="34" t="n">
        <v>0.05</v>
      </c>
      <c r="CM105" s="3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326</v>
      </c>
    </row>
    <row r="2" customFormat="false" ht="15" hidden="false" customHeight="false" outlineLevel="0" collapsed="false">
      <c r="A2" s="36" t="s">
        <v>327</v>
      </c>
    </row>
    <row r="4" customFormat="false" ht="15" hidden="false" customHeight="false" outlineLevel="0" collapsed="false">
      <c r="A4" s="37" t="s">
        <v>328</v>
      </c>
      <c r="B4" s="37" t="s">
        <v>15</v>
      </c>
      <c r="C4" s="37" t="s">
        <v>329</v>
      </c>
      <c r="D4" s="37" t="s">
        <v>330</v>
      </c>
      <c r="E4" s="37" t="s">
        <v>331</v>
      </c>
      <c r="F4" s="37" t="s">
        <v>332</v>
      </c>
      <c r="G4" s="37" t="s">
        <v>333</v>
      </c>
    </row>
    <row r="5" customFormat="false" ht="15" hidden="false" customHeight="false" outlineLevel="0" collapsed="false">
      <c r="A5" s="38" t="s">
        <v>334</v>
      </c>
      <c r="B5" s="38" t="s">
        <v>35</v>
      </c>
      <c r="C5" s="38" t="s">
        <v>335</v>
      </c>
      <c r="D5" s="38" t="s">
        <v>336</v>
      </c>
      <c r="E5" s="39" t="n">
        <v>1.5</v>
      </c>
      <c r="F5" s="39" t="n">
        <v>3</v>
      </c>
      <c r="G5" s="38" t="s">
        <v>337</v>
      </c>
    </row>
    <row r="6" customFormat="false" ht="15" hidden="false" customHeight="false" outlineLevel="0" collapsed="false">
      <c r="A6" s="38" t="s">
        <v>334</v>
      </c>
      <c r="B6" s="38" t="s">
        <v>60</v>
      </c>
      <c r="C6" s="38" t="s">
        <v>338</v>
      </c>
      <c r="D6" s="38" t="s">
        <v>336</v>
      </c>
      <c r="E6" s="39" t="n">
        <v>0.31</v>
      </c>
      <c r="F6" s="39" t="n">
        <v>3</v>
      </c>
      <c r="G6" s="38" t="s">
        <v>337</v>
      </c>
    </row>
    <row r="7" customFormat="false" ht="15" hidden="false" customHeight="false" outlineLevel="0" collapsed="false">
      <c r="A7" s="38" t="s">
        <v>334</v>
      </c>
      <c r="B7" s="38" t="s">
        <v>75</v>
      </c>
      <c r="C7" s="38" t="s">
        <v>339</v>
      </c>
      <c r="D7" s="38" t="s">
        <v>336</v>
      </c>
      <c r="E7" s="39" t="n">
        <v>1</v>
      </c>
      <c r="F7" s="39" t="n">
        <v>3</v>
      </c>
      <c r="G7" s="38" t="s">
        <v>340</v>
      </c>
    </row>
    <row r="8" customFormat="false" ht="15" hidden="false" customHeight="false" outlineLevel="0" collapsed="false">
      <c r="A8" s="38" t="s">
        <v>334</v>
      </c>
      <c r="B8" s="38" t="s">
        <v>52</v>
      </c>
      <c r="C8" s="38" t="s">
        <v>341</v>
      </c>
      <c r="D8" s="38" t="s">
        <v>336</v>
      </c>
      <c r="E8" s="39" t="n">
        <v>0.78</v>
      </c>
      <c r="F8" s="39" t="n">
        <v>2</v>
      </c>
      <c r="G8" s="38" t="s">
        <v>342</v>
      </c>
    </row>
    <row r="9" customFormat="false" ht="15" hidden="false" customHeight="false" outlineLevel="0" collapsed="false">
      <c r="A9" s="38" t="s">
        <v>334</v>
      </c>
      <c r="B9" s="38" t="s">
        <v>48</v>
      </c>
      <c r="C9" s="38" t="s">
        <v>343</v>
      </c>
      <c r="D9" s="38" t="s">
        <v>336</v>
      </c>
      <c r="E9" s="39" t="n">
        <v>903.2</v>
      </c>
      <c r="F9" s="39" t="n">
        <v>2</v>
      </c>
      <c r="G9" s="38" t="s">
        <v>344</v>
      </c>
    </row>
    <row r="10" customFormat="false" ht="15" hidden="false" customHeight="false" outlineLevel="0" collapsed="false">
      <c r="A10" s="38" t="s">
        <v>334</v>
      </c>
      <c r="B10" s="38" t="s">
        <v>16</v>
      </c>
      <c r="C10" s="38" t="s">
        <v>345</v>
      </c>
      <c r="D10" s="38" t="s">
        <v>346</v>
      </c>
      <c r="E10" s="39" t="n">
        <v>25</v>
      </c>
      <c r="F10" s="39" t="n">
        <v>1</v>
      </c>
      <c r="G10" s="38" t="s">
        <v>347</v>
      </c>
    </row>
    <row r="11" customFormat="false" ht="15" hidden="false" customHeight="false" outlineLevel="0" collapsed="false">
      <c r="A11" s="38" t="s">
        <v>334</v>
      </c>
      <c r="B11" s="38" t="s">
        <v>27</v>
      </c>
      <c r="C11" s="38" t="s">
        <v>348</v>
      </c>
      <c r="D11" s="38" t="s">
        <v>336</v>
      </c>
      <c r="E11" s="39" t="n">
        <v>0.19</v>
      </c>
      <c r="F11" s="39" t="n">
        <v>2</v>
      </c>
      <c r="G11" s="38" t="s">
        <v>349</v>
      </c>
    </row>
    <row r="12" customFormat="false" ht="15" hidden="false" customHeight="false" outlineLevel="0" collapsed="false">
      <c r="A12" s="38" t="s">
        <v>334</v>
      </c>
      <c r="B12" s="38" t="s">
        <v>24</v>
      </c>
      <c r="C12" s="38" t="s">
        <v>350</v>
      </c>
      <c r="D12" s="38" t="s">
        <v>346</v>
      </c>
      <c r="E12" s="39" t="n">
        <v>25.84</v>
      </c>
      <c r="F12" s="39" t="n">
        <v>1</v>
      </c>
      <c r="G12" s="38" t="s">
        <v>351</v>
      </c>
    </row>
    <row r="13" customFormat="false" ht="15" hidden="false" customHeight="false" outlineLevel="0" collapsed="false">
      <c r="A13" s="38" t="s">
        <v>334</v>
      </c>
      <c r="B13" s="38" t="s">
        <v>36</v>
      </c>
      <c r="C13" s="38" t="s">
        <v>352</v>
      </c>
      <c r="D13" s="38" t="s">
        <v>336</v>
      </c>
      <c r="E13" s="39" t="n">
        <v>3</v>
      </c>
      <c r="F13" s="39" t="n">
        <v>2</v>
      </c>
      <c r="G13" s="38" t="s">
        <v>353</v>
      </c>
    </row>
    <row r="14" customFormat="false" ht="15" hidden="false" customHeight="false" outlineLevel="0" collapsed="false">
      <c r="A14" s="38" t="s">
        <v>334</v>
      </c>
      <c r="B14" s="38" t="s">
        <v>37</v>
      </c>
      <c r="C14" s="38" t="s">
        <v>354</v>
      </c>
      <c r="D14" s="38" t="s">
        <v>336</v>
      </c>
      <c r="E14" s="39" t="n">
        <v>2</v>
      </c>
      <c r="F14" s="39" t="n">
        <v>2</v>
      </c>
      <c r="G14" s="38" t="s">
        <v>355</v>
      </c>
    </row>
    <row r="15" customFormat="false" ht="15" hidden="false" customHeight="false" outlineLevel="0" collapsed="false">
      <c r="A15" s="38" t="s">
        <v>334</v>
      </c>
      <c r="B15" s="38" t="s">
        <v>45</v>
      </c>
      <c r="C15" s="38" t="s">
        <v>356</v>
      </c>
      <c r="D15" s="38" t="s">
        <v>336</v>
      </c>
      <c r="E15" s="39" t="n">
        <v>1</v>
      </c>
      <c r="F15" s="39" t="n">
        <v>2</v>
      </c>
      <c r="G15" s="38" t="s">
        <v>357</v>
      </c>
    </row>
    <row r="16" customFormat="false" ht="15" hidden="false" customHeight="false" outlineLevel="0" collapsed="false">
      <c r="A16" s="38" t="s">
        <v>334</v>
      </c>
      <c r="B16" s="38" t="s">
        <v>72</v>
      </c>
      <c r="C16" s="38" t="s">
        <v>358</v>
      </c>
      <c r="D16" s="38" t="s">
        <v>336</v>
      </c>
      <c r="E16" s="39" t="n">
        <v>1</v>
      </c>
      <c r="F16" s="39" t="n">
        <v>2</v>
      </c>
      <c r="G16" s="38" t="s">
        <v>357</v>
      </c>
    </row>
    <row r="17" customFormat="false" ht="15" hidden="false" customHeight="false" outlineLevel="0" collapsed="false">
      <c r="A17" s="38" t="s">
        <v>334</v>
      </c>
      <c r="B17" s="38" t="s">
        <v>64</v>
      </c>
      <c r="C17" s="38" t="s">
        <v>359</v>
      </c>
      <c r="D17" s="38" t="s">
        <v>336</v>
      </c>
      <c r="E17" s="39" t="n">
        <v>3</v>
      </c>
      <c r="F17" s="39" t="n">
        <v>1</v>
      </c>
      <c r="G17" s="38" t="s">
        <v>360</v>
      </c>
    </row>
    <row r="18" customFormat="false" ht="15" hidden="false" customHeight="false" outlineLevel="0" collapsed="false">
      <c r="A18" s="38" t="s">
        <v>334</v>
      </c>
      <c r="B18" s="38" t="s">
        <v>56</v>
      </c>
      <c r="C18" s="38" t="s">
        <v>361</v>
      </c>
      <c r="D18" s="38" t="s">
        <v>336</v>
      </c>
      <c r="E18" s="39" t="n">
        <v>918.4</v>
      </c>
      <c r="F18" s="39" t="n">
        <v>1</v>
      </c>
      <c r="G18" s="38" t="s">
        <v>362</v>
      </c>
    </row>
    <row r="19" customFormat="false" ht="15" hidden="false" customHeight="false" outlineLevel="0" collapsed="false">
      <c r="A19" s="38" t="s">
        <v>363</v>
      </c>
      <c r="B19" s="38" t="s">
        <v>22</v>
      </c>
      <c r="C19" s="38" t="s">
        <v>364</v>
      </c>
      <c r="D19" s="38" t="s">
        <v>336</v>
      </c>
      <c r="E19" s="39" t="n">
        <v>11</v>
      </c>
      <c r="F19" s="39" t="n">
        <v>1</v>
      </c>
      <c r="G19" s="38" t="s">
        <v>362</v>
      </c>
    </row>
    <row r="20" customFormat="false" ht="15" hidden="false" customHeight="false" outlineLevel="0" collapsed="false">
      <c r="A20" s="38" t="s">
        <v>363</v>
      </c>
      <c r="B20" s="38" t="s">
        <v>33</v>
      </c>
      <c r="C20" s="38" t="s">
        <v>365</v>
      </c>
      <c r="D20" s="38" t="s">
        <v>336</v>
      </c>
      <c r="E20" s="39" t="n">
        <v>23.2</v>
      </c>
      <c r="F20" s="39" t="n">
        <v>1</v>
      </c>
      <c r="G20" s="38" t="s">
        <v>362</v>
      </c>
    </row>
    <row r="21" customFormat="false" ht="15" hidden="false" customHeight="false" outlineLevel="0" collapsed="false">
      <c r="A21" s="38" t="s">
        <v>363</v>
      </c>
      <c r="B21" s="38" t="s">
        <v>48</v>
      </c>
      <c r="C21" s="38" t="s">
        <v>343</v>
      </c>
      <c r="D21" s="38" t="s">
        <v>336</v>
      </c>
      <c r="E21" s="39" t="n">
        <v>903.2</v>
      </c>
      <c r="F21" s="39" t="n">
        <v>1</v>
      </c>
      <c r="G21" s="38" t="s">
        <v>362</v>
      </c>
    </row>
    <row r="22" customFormat="false" ht="15" hidden="false" customHeight="false" outlineLevel="0" collapsed="false">
      <c r="A22" s="38" t="s">
        <v>363</v>
      </c>
      <c r="B22" s="38" t="s">
        <v>64</v>
      </c>
      <c r="C22" s="38" t="s">
        <v>359</v>
      </c>
      <c r="D22" s="38" t="s">
        <v>336</v>
      </c>
      <c r="E22" s="39" t="n">
        <v>3</v>
      </c>
      <c r="F22" s="39" t="n">
        <v>1</v>
      </c>
      <c r="G22" s="38" t="s">
        <v>366</v>
      </c>
    </row>
    <row r="23" customFormat="false" ht="15" hidden="false" customHeight="false" outlineLevel="0" collapsed="false">
      <c r="A23" s="38" t="s">
        <v>363</v>
      </c>
      <c r="B23" s="38" t="s">
        <v>39</v>
      </c>
      <c r="C23" s="38" t="s">
        <v>367</v>
      </c>
      <c r="D23" s="38" t="s">
        <v>336</v>
      </c>
      <c r="E23" s="39" t="n">
        <v>33.4</v>
      </c>
      <c r="F23" s="39" t="n">
        <v>1</v>
      </c>
      <c r="G23" s="38" t="s">
        <v>362</v>
      </c>
    </row>
    <row r="24" customFormat="false" ht="15" hidden="false" customHeight="false" outlineLevel="0" collapsed="false">
      <c r="A24" s="38" t="s">
        <v>363</v>
      </c>
      <c r="B24" s="38" t="s">
        <v>53</v>
      </c>
      <c r="C24" s="38" t="s">
        <v>368</v>
      </c>
      <c r="D24" s="38" t="s">
        <v>336</v>
      </c>
      <c r="E24" s="39" t="n">
        <v>5.54</v>
      </c>
      <c r="F24" s="39" t="n">
        <v>1</v>
      </c>
      <c r="G24" s="38" t="s">
        <v>362</v>
      </c>
    </row>
    <row r="25" customFormat="false" ht="15" hidden="false" customHeight="false" outlineLevel="0" collapsed="false">
      <c r="A25" s="38" t="s">
        <v>369</v>
      </c>
      <c r="B25" s="38" t="s">
        <v>35</v>
      </c>
      <c r="C25" s="38" t="s">
        <v>335</v>
      </c>
      <c r="D25" s="38" t="s">
        <v>336</v>
      </c>
      <c r="E25" s="39" t="n">
        <v>1.5</v>
      </c>
      <c r="F25" s="39" t="n">
        <v>1</v>
      </c>
      <c r="G25" s="38" t="s">
        <v>362</v>
      </c>
    </row>
    <row r="26" customFormat="false" ht="15" hidden="false" customHeight="false" outlineLevel="0" collapsed="false">
      <c r="A26" s="38" t="s">
        <v>369</v>
      </c>
      <c r="B26" s="38" t="s">
        <v>36</v>
      </c>
      <c r="C26" s="38" t="s">
        <v>352</v>
      </c>
      <c r="D26" s="38" t="s">
        <v>336</v>
      </c>
      <c r="E26" s="39" t="n">
        <v>3</v>
      </c>
      <c r="F26" s="39" t="n">
        <v>1</v>
      </c>
      <c r="G26" s="38" t="s">
        <v>370</v>
      </c>
    </row>
    <row r="27" customFormat="false" ht="15" hidden="false" customHeight="false" outlineLevel="0" collapsed="false">
      <c r="A27" s="38" t="s">
        <v>369</v>
      </c>
      <c r="B27" s="38" t="s">
        <v>37</v>
      </c>
      <c r="C27" s="38" t="s">
        <v>354</v>
      </c>
      <c r="D27" s="38" t="s">
        <v>336</v>
      </c>
      <c r="E27" s="39" t="n">
        <v>2</v>
      </c>
      <c r="F27" s="39" t="n">
        <v>1</v>
      </c>
      <c r="G27" s="38" t="s">
        <v>370</v>
      </c>
    </row>
    <row r="28" customFormat="false" ht="15" hidden="false" customHeight="false" outlineLevel="0" collapsed="false">
      <c r="A28" s="38" t="s">
        <v>369</v>
      </c>
      <c r="B28" s="38" t="s">
        <v>60</v>
      </c>
      <c r="C28" s="38" t="s">
        <v>338</v>
      </c>
      <c r="D28" s="38" t="s">
        <v>336</v>
      </c>
      <c r="E28" s="39" t="n">
        <v>0.31</v>
      </c>
      <c r="F28" s="39" t="n">
        <v>1</v>
      </c>
      <c r="G28" s="38" t="s">
        <v>371</v>
      </c>
    </row>
    <row r="29" customFormat="false" ht="15" hidden="false" customHeight="false" outlineLevel="0" collapsed="false">
      <c r="A29" s="38" t="s">
        <v>369</v>
      </c>
      <c r="B29" s="38" t="s">
        <v>45</v>
      </c>
      <c r="C29" s="38" t="s">
        <v>356</v>
      </c>
      <c r="D29" s="38" t="s">
        <v>336</v>
      </c>
      <c r="E29" s="39" t="n">
        <v>1</v>
      </c>
      <c r="F29" s="39" t="n">
        <v>1</v>
      </c>
      <c r="G29" s="38" t="s">
        <v>372</v>
      </c>
    </row>
    <row r="30" customFormat="false" ht="15" hidden="false" customHeight="false" outlineLevel="0" collapsed="false">
      <c r="A30" s="38" t="s">
        <v>369</v>
      </c>
      <c r="B30" s="38" t="s">
        <v>55</v>
      </c>
      <c r="C30" s="38" t="s">
        <v>373</v>
      </c>
      <c r="D30" s="38" t="s">
        <v>336</v>
      </c>
      <c r="E30" s="39" t="n">
        <v>1.3</v>
      </c>
      <c r="F30" s="39" t="n">
        <v>1</v>
      </c>
      <c r="G30" s="38" t="s">
        <v>374</v>
      </c>
    </row>
    <row r="31" customFormat="false" ht="15" hidden="false" customHeight="false" outlineLevel="0" collapsed="false">
      <c r="A31" s="38" t="s">
        <v>369</v>
      </c>
      <c r="B31" s="38" t="s">
        <v>47</v>
      </c>
      <c r="C31" s="38" t="s">
        <v>375</v>
      </c>
      <c r="D31" s="38" t="s">
        <v>336</v>
      </c>
      <c r="E31" s="39" t="n">
        <v>1</v>
      </c>
      <c r="F31" s="39" t="n">
        <v>1</v>
      </c>
      <c r="G31" s="38" t="s">
        <v>376</v>
      </c>
    </row>
    <row r="32" customFormat="false" ht="15" hidden="false" customHeight="false" outlineLevel="0" collapsed="false">
      <c r="A32" s="38" t="s">
        <v>377</v>
      </c>
      <c r="B32" s="38" t="s">
        <v>40</v>
      </c>
      <c r="C32" s="38" t="s">
        <v>378</v>
      </c>
      <c r="D32" s="38" t="s">
        <v>336</v>
      </c>
      <c r="E32" s="39" t="n">
        <v>2</v>
      </c>
      <c r="F32" s="39" t="n">
        <v>1</v>
      </c>
      <c r="G32" s="38" t="s">
        <v>379</v>
      </c>
    </row>
    <row r="33" customFormat="false" ht="15" hidden="false" customHeight="false" outlineLevel="0" collapsed="false">
      <c r="A33" s="38" t="s">
        <v>377</v>
      </c>
      <c r="B33" s="38" t="s">
        <v>80</v>
      </c>
      <c r="C33" s="38" t="s">
        <v>380</v>
      </c>
      <c r="D33" s="38" t="s">
        <v>336</v>
      </c>
      <c r="E33" s="39" t="n">
        <v>3</v>
      </c>
      <c r="F33" s="39" t="n">
        <v>1</v>
      </c>
      <c r="G33" s="38" t="s">
        <v>381</v>
      </c>
    </row>
    <row r="34" customFormat="false" ht="15" hidden="false" customHeight="false" outlineLevel="0" collapsed="false">
      <c r="A34" s="38" t="s">
        <v>377</v>
      </c>
      <c r="B34" s="38" t="s">
        <v>81</v>
      </c>
      <c r="C34" s="38" t="s">
        <v>382</v>
      </c>
      <c r="D34" s="38" t="s">
        <v>336</v>
      </c>
      <c r="E34" s="39" t="n">
        <v>1</v>
      </c>
      <c r="F34" s="39" t="n">
        <v>1</v>
      </c>
      <c r="G34" s="38" t="s">
        <v>376</v>
      </c>
    </row>
    <row r="35" customFormat="false" ht="15" hidden="false" customHeight="false" outlineLevel="0" collapsed="false">
      <c r="A35" s="38" t="s">
        <v>377</v>
      </c>
      <c r="B35" s="38" t="s">
        <v>82</v>
      </c>
      <c r="C35" s="38" t="s">
        <v>383</v>
      </c>
      <c r="D35" s="38" t="s">
        <v>336</v>
      </c>
      <c r="E35" s="39" t="n">
        <v>3</v>
      </c>
      <c r="F35" s="39" t="n">
        <v>1</v>
      </c>
      <c r="G35" s="38" t="s">
        <v>372</v>
      </c>
    </row>
    <row r="36" customFormat="false" ht="15" hidden="false" customHeight="false" outlineLevel="0" collapsed="false">
      <c r="A36" s="38" t="s">
        <v>377</v>
      </c>
      <c r="B36" s="38" t="s">
        <v>84</v>
      </c>
      <c r="C36" s="38" t="s">
        <v>174</v>
      </c>
      <c r="D36" s="38" t="s">
        <v>384</v>
      </c>
      <c r="E36" s="39" t="s">
        <v>207</v>
      </c>
      <c r="F36" s="39" t="n">
        <v>1</v>
      </c>
      <c r="G36" s="38" t="s">
        <v>385</v>
      </c>
    </row>
    <row r="37" customFormat="false" ht="15" hidden="false" customHeight="false" outlineLevel="0" collapsed="false">
      <c r="A37" s="38" t="s">
        <v>377</v>
      </c>
      <c r="B37" s="38" t="s">
        <v>63</v>
      </c>
      <c r="C37" s="38" t="s">
        <v>386</v>
      </c>
      <c r="D37" s="38" t="s">
        <v>336</v>
      </c>
      <c r="E37" s="39" t="n">
        <v>0.2</v>
      </c>
      <c r="F37" s="39" t="n">
        <v>1</v>
      </c>
      <c r="G37" s="38" t="s">
        <v>387</v>
      </c>
    </row>
    <row r="38" customFormat="false" ht="15" hidden="false" customHeight="false" outlineLevel="0" collapsed="false">
      <c r="A38" s="38" t="s">
        <v>377</v>
      </c>
      <c r="B38" s="38" t="s">
        <v>46</v>
      </c>
      <c r="C38" s="38" t="s">
        <v>388</v>
      </c>
      <c r="D38" s="38" t="s">
        <v>346</v>
      </c>
      <c r="E38" s="39" t="n">
        <v>0.2</v>
      </c>
      <c r="F38" s="39" t="n">
        <v>1</v>
      </c>
      <c r="G38" s="38" t="s">
        <v>389</v>
      </c>
    </row>
    <row r="39" customFormat="false" ht="15" hidden="false" customHeight="false" outlineLevel="0" collapsed="false">
      <c r="A39" s="38" t="s">
        <v>390</v>
      </c>
      <c r="B39" s="38" t="s">
        <v>25</v>
      </c>
      <c r="C39" s="38" t="s">
        <v>391</v>
      </c>
      <c r="D39" s="38" t="s">
        <v>336</v>
      </c>
      <c r="E39" s="39" t="n">
        <v>101</v>
      </c>
      <c r="F39" s="39" t="n">
        <v>1</v>
      </c>
      <c r="G39" s="38" t="s">
        <v>362</v>
      </c>
    </row>
    <row r="40" customFormat="false" ht="15" hidden="false" customHeight="false" outlineLevel="0" collapsed="false">
      <c r="A40" s="38" t="s">
        <v>390</v>
      </c>
      <c r="B40" s="38" t="s">
        <v>30</v>
      </c>
      <c r="C40" s="38" t="s">
        <v>392</v>
      </c>
      <c r="D40" s="38" t="s">
        <v>336</v>
      </c>
      <c r="E40" s="39" t="n">
        <v>83</v>
      </c>
      <c r="F40" s="39" t="n">
        <v>1</v>
      </c>
      <c r="G40" s="38" t="s">
        <v>393</v>
      </c>
    </row>
    <row r="41" customFormat="false" ht="15" hidden="false" customHeight="false" outlineLevel="0" collapsed="false">
      <c r="A41" s="38" t="s">
        <v>390</v>
      </c>
      <c r="B41" s="38" t="s">
        <v>27</v>
      </c>
      <c r="C41" s="38" t="s">
        <v>348</v>
      </c>
      <c r="D41" s="38" t="s">
        <v>336</v>
      </c>
      <c r="E41" s="39" t="n">
        <v>0.19</v>
      </c>
      <c r="F41" s="39" t="n">
        <v>1</v>
      </c>
      <c r="G41" s="38" t="s">
        <v>362</v>
      </c>
    </row>
    <row r="42" customFormat="false" ht="15" hidden="false" customHeight="false" outlineLevel="0" collapsed="false">
      <c r="A42" s="38" t="s">
        <v>390</v>
      </c>
      <c r="B42" s="38" t="s">
        <v>61</v>
      </c>
      <c r="C42" s="38" t="s">
        <v>394</v>
      </c>
      <c r="D42" s="38" t="s">
        <v>336</v>
      </c>
      <c r="E42" s="39" t="n">
        <v>274.4</v>
      </c>
      <c r="F42" s="39" t="n">
        <v>1</v>
      </c>
      <c r="G42" s="38" t="s">
        <v>395</v>
      </c>
    </row>
    <row r="43" customFormat="false" ht="15" hidden="false" customHeight="false" outlineLevel="0" collapsed="false">
      <c r="A43" s="38" t="s">
        <v>390</v>
      </c>
      <c r="B43" s="38" t="s">
        <v>104</v>
      </c>
      <c r="C43" s="38" t="s">
        <v>396</v>
      </c>
      <c r="D43" s="38" t="s">
        <v>336</v>
      </c>
      <c r="E43" s="39" t="n">
        <v>0.53</v>
      </c>
      <c r="F43" s="39" t="n">
        <v>1</v>
      </c>
      <c r="G43" s="38" t="s">
        <v>362</v>
      </c>
    </row>
    <row r="44" customFormat="false" ht="15" hidden="false" customHeight="false" outlineLevel="0" collapsed="false">
      <c r="A44" s="38" t="s">
        <v>390</v>
      </c>
      <c r="B44" s="38" t="s">
        <v>31</v>
      </c>
      <c r="C44" s="38" t="s">
        <v>397</v>
      </c>
      <c r="D44" s="38" t="s">
        <v>336</v>
      </c>
      <c r="E44" s="39" t="n">
        <v>5</v>
      </c>
      <c r="F44" s="39" t="n">
        <v>1</v>
      </c>
      <c r="G44" s="38" t="s">
        <v>362</v>
      </c>
    </row>
    <row r="45" customFormat="false" ht="15" hidden="false" customHeight="false" outlineLevel="0" collapsed="false">
      <c r="A45" s="38" t="s">
        <v>398</v>
      </c>
      <c r="B45" s="38" t="s">
        <v>71</v>
      </c>
      <c r="C45" s="38" t="s">
        <v>399</v>
      </c>
      <c r="D45" s="38" t="s">
        <v>336</v>
      </c>
      <c r="E45" s="39" t="n">
        <v>1</v>
      </c>
      <c r="F45" s="39" t="n">
        <v>1</v>
      </c>
      <c r="G45" s="38" t="s">
        <v>400</v>
      </c>
    </row>
    <row r="46" customFormat="false" ht="15" hidden="false" customHeight="false" outlineLevel="0" collapsed="false">
      <c r="A46" s="38" t="s">
        <v>398</v>
      </c>
      <c r="B46" s="38" t="s">
        <v>74</v>
      </c>
      <c r="C46" s="38" t="s">
        <v>401</v>
      </c>
      <c r="D46" s="38" t="s">
        <v>336</v>
      </c>
      <c r="E46" s="39" t="n">
        <v>1</v>
      </c>
      <c r="F46" s="39" t="n">
        <v>1</v>
      </c>
      <c r="G46" s="38" t="s">
        <v>376</v>
      </c>
    </row>
    <row r="47" customFormat="false" ht="15" hidden="false" customHeight="false" outlineLevel="0" collapsed="false">
      <c r="A47" s="38" t="s">
        <v>398</v>
      </c>
      <c r="B47" s="38" t="s">
        <v>35</v>
      </c>
      <c r="C47" s="38" t="s">
        <v>335</v>
      </c>
      <c r="D47" s="38" t="s">
        <v>336</v>
      </c>
      <c r="E47" s="39" t="n">
        <v>1.5</v>
      </c>
      <c r="F47" s="39" t="n">
        <v>1</v>
      </c>
      <c r="G47" s="38" t="s">
        <v>402</v>
      </c>
    </row>
    <row r="48" customFormat="false" ht="15" hidden="false" customHeight="false" outlineLevel="0" collapsed="false">
      <c r="A48" s="38" t="s">
        <v>398</v>
      </c>
      <c r="B48" s="38" t="s">
        <v>80</v>
      </c>
      <c r="C48" s="38" t="s">
        <v>380</v>
      </c>
      <c r="D48" s="38" t="s">
        <v>336</v>
      </c>
      <c r="E48" s="39" t="n">
        <v>3</v>
      </c>
      <c r="F48" s="39" t="n">
        <v>1</v>
      </c>
      <c r="G48" s="38" t="s">
        <v>403</v>
      </c>
    </row>
    <row r="49" customFormat="false" ht="15" hidden="false" customHeight="false" outlineLevel="0" collapsed="false">
      <c r="A49" s="38" t="s">
        <v>398</v>
      </c>
      <c r="B49" s="38" t="s">
        <v>64</v>
      </c>
      <c r="C49" s="38" t="s">
        <v>359</v>
      </c>
      <c r="D49" s="38" t="s">
        <v>336</v>
      </c>
      <c r="E49" s="39" t="n">
        <v>3</v>
      </c>
      <c r="F49" s="39" t="n">
        <v>1</v>
      </c>
      <c r="G49" s="38" t="s">
        <v>404</v>
      </c>
    </row>
    <row r="50" customFormat="false" ht="15" hidden="false" customHeight="false" outlineLevel="0" collapsed="false">
      <c r="A50" s="38" t="s">
        <v>398</v>
      </c>
      <c r="B50" s="38" t="s">
        <v>78</v>
      </c>
      <c r="C50" s="38" t="s">
        <v>405</v>
      </c>
      <c r="D50" s="38" t="s">
        <v>336</v>
      </c>
      <c r="E50" s="39" t="n">
        <v>2</v>
      </c>
      <c r="F50" s="39" t="n">
        <v>1</v>
      </c>
      <c r="G50" s="38" t="s">
        <v>376</v>
      </c>
    </row>
    <row r="51" customFormat="false" ht="15" hidden="false" customHeight="false" outlineLevel="0" collapsed="false">
      <c r="A51" s="38" t="s">
        <v>398</v>
      </c>
      <c r="B51" s="38" t="s">
        <v>75</v>
      </c>
      <c r="C51" s="38" t="s">
        <v>339</v>
      </c>
      <c r="D51" s="38" t="s">
        <v>336</v>
      </c>
      <c r="E51" s="39" t="n">
        <v>1</v>
      </c>
      <c r="F51" s="39" t="n">
        <v>1</v>
      </c>
      <c r="G51" s="38" t="s">
        <v>406</v>
      </c>
    </row>
    <row r="52" customFormat="false" ht="15" hidden="false" customHeight="false" outlineLevel="0" collapsed="false">
      <c r="A52" s="38" t="s">
        <v>407</v>
      </c>
      <c r="B52" s="38" t="s">
        <v>100</v>
      </c>
      <c r="C52" s="38" t="s">
        <v>408</v>
      </c>
      <c r="D52" s="38" t="s">
        <v>336</v>
      </c>
      <c r="E52" s="39" t="n">
        <v>38.6</v>
      </c>
      <c r="F52" s="39" t="n">
        <v>1</v>
      </c>
      <c r="G52" s="38" t="s">
        <v>362</v>
      </c>
    </row>
    <row r="53" customFormat="false" ht="15" hidden="false" customHeight="false" outlineLevel="0" collapsed="false">
      <c r="A53" s="38" t="s">
        <v>407</v>
      </c>
      <c r="B53" s="38" t="s">
        <v>101</v>
      </c>
      <c r="C53" s="38" t="s">
        <v>409</v>
      </c>
      <c r="D53" s="38" t="s">
        <v>336</v>
      </c>
      <c r="E53" s="39" t="n">
        <v>5.52</v>
      </c>
      <c r="F53" s="39" t="n">
        <v>1</v>
      </c>
      <c r="G53" s="38" t="s">
        <v>362</v>
      </c>
    </row>
    <row r="54" customFormat="false" ht="15" hidden="false" customHeight="false" outlineLevel="0" collapsed="false">
      <c r="A54" s="38" t="s">
        <v>407</v>
      </c>
      <c r="B54" s="38" t="s">
        <v>32</v>
      </c>
      <c r="C54" s="38" t="s">
        <v>410</v>
      </c>
      <c r="D54" s="38" t="s">
        <v>336</v>
      </c>
      <c r="E54" s="39" t="n">
        <v>1.42</v>
      </c>
      <c r="F54" s="39" t="n">
        <v>1</v>
      </c>
      <c r="G54" s="38" t="s">
        <v>362</v>
      </c>
    </row>
    <row r="55" customFormat="false" ht="15" hidden="false" customHeight="false" outlineLevel="0" collapsed="false">
      <c r="A55" s="38" t="s">
        <v>407</v>
      </c>
      <c r="B55" s="38" t="s">
        <v>39</v>
      </c>
      <c r="C55" s="38" t="s">
        <v>367</v>
      </c>
      <c r="D55" s="38" t="s">
        <v>336</v>
      </c>
      <c r="E55" s="39" t="n">
        <v>33.4</v>
      </c>
      <c r="F55" s="39" t="n">
        <v>1</v>
      </c>
      <c r="G55" s="38" t="s">
        <v>411</v>
      </c>
    </row>
    <row r="56" customFormat="false" ht="15" hidden="false" customHeight="false" outlineLevel="0" collapsed="false">
      <c r="A56" s="38" t="s">
        <v>407</v>
      </c>
      <c r="B56" s="38" t="s">
        <v>59</v>
      </c>
      <c r="C56" s="38" t="s">
        <v>412</v>
      </c>
      <c r="D56" s="38" t="s">
        <v>336</v>
      </c>
      <c r="E56" s="39" t="n">
        <v>25</v>
      </c>
      <c r="F56" s="39" t="n">
        <v>1</v>
      </c>
      <c r="G56" s="38" t="s">
        <v>362</v>
      </c>
    </row>
    <row r="57" customFormat="false" ht="15" hidden="false" customHeight="false" outlineLevel="0" collapsed="false">
      <c r="A57" s="38" t="s">
        <v>413</v>
      </c>
      <c r="B57" s="38" t="s">
        <v>22</v>
      </c>
      <c r="C57" s="38" t="s">
        <v>364</v>
      </c>
      <c r="D57" s="38" t="s">
        <v>336</v>
      </c>
      <c r="E57" s="39" t="n">
        <v>11</v>
      </c>
      <c r="F57" s="39" t="n">
        <v>1</v>
      </c>
      <c r="G57" s="38" t="s">
        <v>414</v>
      </c>
    </row>
    <row r="58" customFormat="false" ht="15" hidden="false" customHeight="false" outlineLevel="0" collapsed="false">
      <c r="A58" s="38" t="s">
        <v>413</v>
      </c>
      <c r="B58" s="38" t="s">
        <v>49</v>
      </c>
      <c r="C58" s="38" t="s">
        <v>415</v>
      </c>
      <c r="D58" s="38" t="s">
        <v>336</v>
      </c>
      <c r="E58" s="39" t="n">
        <v>1460.6</v>
      </c>
      <c r="F58" s="39" t="n">
        <v>1</v>
      </c>
      <c r="G58" s="38" t="s">
        <v>416</v>
      </c>
    </row>
    <row r="59" customFormat="false" ht="15" hidden="false" customHeight="false" outlineLevel="0" collapsed="false">
      <c r="A59" s="38" t="s">
        <v>413</v>
      </c>
      <c r="B59" s="38" t="s">
        <v>52</v>
      </c>
      <c r="C59" s="38" t="s">
        <v>341</v>
      </c>
      <c r="D59" s="38" t="s">
        <v>336</v>
      </c>
      <c r="E59" s="39" t="n">
        <v>0.78</v>
      </c>
      <c r="F59" s="39" t="n">
        <v>1</v>
      </c>
      <c r="G59" s="38" t="s">
        <v>417</v>
      </c>
    </row>
    <row r="60" customFormat="false" ht="15" hidden="false" customHeight="false" outlineLevel="0" collapsed="false">
      <c r="A60" s="38" t="s">
        <v>413</v>
      </c>
      <c r="B60" s="38" t="s">
        <v>27</v>
      </c>
      <c r="C60" s="38" t="s">
        <v>348</v>
      </c>
      <c r="D60" s="38" t="s">
        <v>336</v>
      </c>
      <c r="E60" s="39" t="n">
        <v>0.19</v>
      </c>
      <c r="F60" s="39" t="n">
        <v>1</v>
      </c>
      <c r="G60" s="38" t="s">
        <v>418</v>
      </c>
    </row>
    <row r="61" customFormat="false" ht="15" hidden="false" customHeight="false" outlineLevel="0" collapsed="false">
      <c r="A61" s="38" t="s">
        <v>413</v>
      </c>
      <c r="B61" s="38" t="s">
        <v>38</v>
      </c>
      <c r="C61" s="38" t="s">
        <v>419</v>
      </c>
      <c r="D61" s="38" t="s">
        <v>346</v>
      </c>
      <c r="E61" s="39" t="n">
        <v>28.62</v>
      </c>
      <c r="F61" s="39" t="n">
        <v>1</v>
      </c>
      <c r="G61" s="38" t="s">
        <v>420</v>
      </c>
    </row>
    <row r="62" customFormat="false" ht="15" hidden="false" customHeight="false" outlineLevel="0" collapsed="false">
      <c r="A62" s="38" t="s">
        <v>413</v>
      </c>
      <c r="B62" s="38" t="s">
        <v>39</v>
      </c>
      <c r="C62" s="38" t="s">
        <v>367</v>
      </c>
      <c r="D62" s="38" t="s">
        <v>336</v>
      </c>
      <c r="E62" s="39" t="n">
        <v>33.4</v>
      </c>
      <c r="F62" s="39" t="n">
        <v>1</v>
      </c>
      <c r="G62" s="38" t="s">
        <v>421</v>
      </c>
    </row>
    <row r="63" customFormat="false" ht="15" hidden="false" customHeight="false" outlineLevel="0" collapsed="false">
      <c r="A63" s="38" t="s">
        <v>413</v>
      </c>
      <c r="B63" s="38" t="s">
        <v>30</v>
      </c>
      <c r="C63" s="38" t="s">
        <v>392</v>
      </c>
      <c r="D63" s="38" t="s">
        <v>336</v>
      </c>
      <c r="E63" s="39" t="n">
        <v>83</v>
      </c>
      <c r="F63" s="39" t="n">
        <v>1</v>
      </c>
      <c r="G63" s="38" t="s">
        <v>422</v>
      </c>
    </row>
    <row r="65" customFormat="false" ht="15" hidden="false" customHeight="false" outlineLevel="0" collapsed="false">
      <c r="A65" s="40" t="s">
        <v>423</v>
      </c>
    </row>
    <row r="66" customFormat="false" ht="15" hidden="false" customHeight="false" outlineLevel="0" collapsed="false">
      <c r="A66" s="0" t="s">
        <v>424</v>
      </c>
      <c r="E66" s="41" t="n">
        <v>20</v>
      </c>
    </row>
    <row r="67" customFormat="false" ht="15" hidden="false" customHeight="false" outlineLevel="0" collapsed="false">
      <c r="A67" s="0" t="s">
        <v>425</v>
      </c>
      <c r="E67" s="41" t="n">
        <v>40</v>
      </c>
    </row>
    <row r="68" customFormat="false" ht="15" hidden="false" customHeight="false" outlineLevel="0" collapsed="false">
      <c r="A68" s="0" t="s">
        <v>426</v>
      </c>
      <c r="E68" s="41" t="n">
        <v>50</v>
      </c>
    </row>
    <row r="69" customFormat="false" ht="15" hidden="false" customHeight="false" outlineLevel="0" collapsed="false">
      <c r="A69" s="0" t="s">
        <v>427</v>
      </c>
      <c r="E69" s="41" t="n">
        <v>90</v>
      </c>
    </row>
    <row r="70" customFormat="false" ht="15" hidden="false" customHeight="false" outlineLevel="0" collapsed="false">
      <c r="A70" s="0" t="s">
        <v>428</v>
      </c>
      <c r="E70" s="41" t="s">
        <v>211</v>
      </c>
    </row>
  </sheetData>
  <dataValidations count="1">
    <dataValidation allowBlank="false" errorStyle="stop" operator="between" showDropDown="false" showErrorMessage="false" showInputMessage="false" sqref="E70" type="list">
      <formula1>"High,High+Medium"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40"/>
    <col collapsed="false" customWidth="true" hidden="false" outlineLevel="0" max="16" min="16" style="0" width="9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1" t="s">
        <v>429</v>
      </c>
    </row>
    <row r="2" customFormat="false" ht="15" hidden="false" customHeight="false" outlineLevel="0" collapsed="false">
      <c r="A2" s="36" t="s">
        <v>430</v>
      </c>
    </row>
    <row r="5" customFormat="false" ht="48" hidden="false" customHeight="true" outlineLevel="0" collapsed="false">
      <c r="A5" s="42" t="s">
        <v>105</v>
      </c>
      <c r="B5" s="43" t="s">
        <v>431</v>
      </c>
      <c r="C5" s="43" t="s">
        <v>432</v>
      </c>
      <c r="D5" s="44" t="s">
        <v>369</v>
      </c>
      <c r="E5" s="44" t="s">
        <v>377</v>
      </c>
      <c r="F5" s="43" t="s">
        <v>390</v>
      </c>
      <c r="G5" s="43" t="s">
        <v>398</v>
      </c>
      <c r="H5" s="45" t="s">
        <v>433</v>
      </c>
      <c r="I5" s="46" t="s">
        <v>434</v>
      </c>
      <c r="J5" s="47" t="s">
        <v>435</v>
      </c>
      <c r="K5" s="43" t="s">
        <v>407</v>
      </c>
      <c r="L5" s="44" t="s">
        <v>413</v>
      </c>
      <c r="M5" s="45" t="s">
        <v>436</v>
      </c>
      <c r="N5" s="46" t="s">
        <v>437</v>
      </c>
      <c r="O5" s="46" t="s">
        <v>438</v>
      </c>
      <c r="P5" s="48" t="s">
        <v>439</v>
      </c>
      <c r="Q5" s="48" t="s">
        <v>440</v>
      </c>
    </row>
    <row r="6" customFormat="false" ht="15" hidden="false" customHeight="false" outlineLevel="0" collapsed="false">
      <c r="A6" s="49" t="str">
        <f aca="false">'Player Data'!A6</f>
        <v>P001</v>
      </c>
      <c r="B6" s="50" t="n">
        <f aca="false">ROUND(100*((N('Player Data'!U6)&gt;='Model Settings'!$E$5)*'Model Settings'!$F$5+(N('Player Data'!AT6)&gt;='Model Settings'!$E$6)*'Model Settings'!$F$6+(N('Player Data'!BI6)&gt;='Model Settings'!$E$7)*'Model Settings'!$F$7+(N('Player Data'!AL6)&gt;='Model Settings'!$E$8)*'Model Settings'!$F$8+(N('Player Data'!AH6)&gt;='Model Settings'!$E$9)*'Model Settings'!$F$9+(N('Player Data'!B6)&lt;='Model Settings'!$E$10)*'Model Settings'!$F$10+(N('Player Data'!M6)&gt;='Model Settings'!$E$11)*'Model Settings'!$F$11+(N('Player Data'!J6)&lt;='Model Settings'!$E$12)*'Model Settings'!$F$12+(N('Player Data'!V6)&gt;='Model Settings'!$E$13)*'Model Settings'!$F$13+(N('Player Data'!W6)&gt;='Model Settings'!$E$14)*'Model Settings'!$F$14+(N('Player Data'!AE6)&gt;='Model Settings'!$E$15)*'Model Settings'!$F$15+(N('Player Data'!BF6)&gt;='Model Settings'!$E$16)*'Model Settings'!$F$16+(N('Player Data'!AX6)&gt;='Model Settings'!$E$17)*'Model Settings'!$F$17+(N('Player Data'!AP6)&gt;='Model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6" s="34" t="str">
        <f aca="false">IF('Player Data'!E6&lt;='Model Settings'!$E$69,ROUND(100*((N('Player Data'!H6)&gt;='Model Settings'!$E$19)*'Model Settings'!$F$19+(N('Player Data'!S6)&gt;='Model Settings'!$E$20)*'Model Settings'!$F$20+(N('Player Data'!AH6)&gt;='Model Settings'!$E$21)*'Model Settings'!$F$21+(N('Player Data'!AX6)&gt;='Model Settings'!$E$22)*'Model Settings'!$F$22+(N('Player Data'!Y6)&gt;='Model Settings'!$E$23)*'Model Settings'!$F$23+(N('Player Data'!AM6)&gt;='Model Settings'!$E$24)*'Model Settings'!$F$24)/('Model Settings'!$F$19+'Model Settings'!$F$20+'Model Settings'!$F$21+'Model Settings'!$F$22+'Model Settings'!$F$23+'Model Settings'!$F$24),0),"n/a")</f>
        <v>n/a</v>
      </c>
      <c r="D6" s="50" t="n">
        <f aca="false">ROUND(100*((N('Player Data'!U6)&gt;='Model Settings'!$E$25)*'Model Settings'!$F$25+(N('Player Data'!V6)&gt;='Model Settings'!$E$26)*'Model Settings'!$F$26+(N('Player Data'!W6)&gt;='Model Settings'!$E$27)*'Model Settings'!$F$27+(N('Player Data'!AT6)&gt;='Model Settings'!$E$28)*'Model Settings'!$F$28+(N('Player Data'!AE6)&gt;='Model Settings'!$E$29)*'Model Settings'!$F$29+(N('Player Data'!AO6)&gt;='Model Settings'!$E$30)*'Model Settings'!$F$30+(N('Player Data'!AG6)&gt;='Model Settings'!$E$31)*'Model Settings'!$F$31)/('Model Settings'!$F$25+'Model Settings'!$F$26+'Model Settings'!$F$27+'Model Settings'!$F$28+'Model Settings'!$F$29+'Model Settings'!$F$30+'Model Settings'!$F$31),0)</f>
        <v>0</v>
      </c>
      <c r="E6" s="50" t="n">
        <f aca="false">ROUND(100*((N('Player Data'!Z6)&gt;='Model Settings'!$E$32)*'Model Settings'!$F$32+(N('Player Data'!BN6)&gt;='Model Settings'!$E$33)*'Model Settings'!$F$33+(N('Player Data'!BO6)&gt;='Model Settings'!$E$34)*'Model Settings'!$F$34+(N('Player Data'!BP6)&gt;='Model Settings'!$E$35)*'Model Settings'!$F$35+('Player Data'!BR6='Model Settings'!$E$36)*'Model Settings'!$F$36+(N('Player Data'!AW6)&gt;='Model Settings'!$E$37)*'Model Settings'!$F$37+(N('Player Data'!AF6)&lt;='Model Settings'!$E$38)*'Model Settings'!$F$38)/('Model Settings'!$F$32+'Model Settings'!$F$33+'Model Settings'!$F$34+'Model Settings'!$F$35+'Model Settings'!$F$36+'Model Settings'!$F$37+'Model Settings'!$F$38),0)</f>
        <v>14</v>
      </c>
      <c r="F6" s="50" t="n">
        <f aca="false">ROUND(100*((N('Player Data'!K6)&gt;='Model Settings'!$E$39)*'Model Settings'!$F$39+(N('Player Data'!P6)&gt;='Model Settings'!$E$40)*'Model Settings'!$F$40+(N('Player Data'!M6)&gt;='Model Settings'!$E$41)*'Model Settings'!$F$41+(N('Player Data'!AU6)&gt;='Model Settings'!$E$42)*'Model Settings'!$F$42+(N('Player Data'!CL6)&gt;='Model Settings'!$E$43)*'Model Settings'!$F$43+(N('Player Data'!Q6)&gt;='Model Settings'!$E$44)*'Model Settings'!$F$44)/('Model Settings'!$F$39+'Model Settings'!$F$40+'Model Settings'!$F$41+'Model Settings'!$F$42+'Model Settings'!$F$43+'Model Settings'!$F$44),0)</f>
        <v>50</v>
      </c>
      <c r="G6" s="50" t="n">
        <f aca="false">ROUND(100*((N('Player Data'!BE6)&gt;='Model Settings'!$E$45)*'Model Settings'!$F$45+(N('Player Data'!BH6)&gt;='Model Settings'!$E$46)*'Model Settings'!$F$46+(N('Player Data'!U6)&gt;='Model Settings'!$E$47)*'Model Settings'!$F$47+(N('Player Data'!BN6)&gt;='Model Settings'!$E$48)*'Model Settings'!$F$48+(N('Player Data'!AX6)&gt;='Model Settings'!$E$49)*'Model Settings'!$F$49+(N('Player Data'!BL6)&gt;='Model Settings'!$E$50)*'Model Settings'!$F$50+(N('Player Data'!BI6)&gt;='Model Settings'!$E$51)*'Model Settings'!$F$51)/('Model Settings'!$F$45+'Model Settings'!$F$46+'Model Settings'!$F$47+'Model Settings'!$F$48+'Model Settings'!$F$49+'Model Settings'!$F$50+'Model Settings'!$F$51),0)</f>
        <v>43</v>
      </c>
      <c r="H6" s="34" t="str">
        <f aca="false">IF(AND(B6&lt;'Model Settings'!$E$66,E6&lt;'Model Settings'!$E$68),"Non-problem",IF(E6&gt;='Model Settings'!$E$68,"Financially vulnerable",IF(OR(N('Player Data'!BY6)&gt;=1,N('Player Data'!BX6)&gt;=2,N('Player Data'!BW6)&gt;=3),"Emotionally vulnerable","At-risk")))</f>
        <v>Non-problem</v>
      </c>
      <c r="I6" s="34" t="str">
        <f aca="false">IF(OR(N('Player Data'!BY6)&gt;=1,'Player Data'!BZ6="Yes"),"Alert","None")</f>
        <v>None</v>
      </c>
      <c r="J6" s="34" t="str">
        <f aca="false">IF(OR(B6&gt;='Model Settings'!$E$67,'Player Data'!BM6="Yes",I6="Alert"),"Suppress",IF(AND(B6&gt;='Model Settings'!$E$66,'Player Data'!G6="Yes"),"Review VIP","Allow"))</f>
        <v>Allow</v>
      </c>
      <c r="K6" s="50" t="n">
        <f aca="false">ROUND(100*((N('Player Data'!CH6)&gt;='Model Settings'!$E$52)*'Model Settings'!$F$52+(N('Player Data'!CI6)&gt;='Model Settings'!$E$53)*'Model Settings'!$F$53+(N('Player Data'!R6)&gt;='Model Settings'!$E$54)*'Model Settings'!$F$54+(N('Player Data'!Y6)&gt;='Model Settings'!$E$55)*'Model Settings'!$F$55+(N('Player Data'!AS6)&gt;='Model Settings'!$E$56)*'Model Settings'!$F$56)/('Model Settings'!$F$52+'Model Settings'!$F$53+'Model Settings'!$F$54+'Model Settings'!$F$55+'Model Settings'!$F$56),0)</f>
        <v>60</v>
      </c>
      <c r="L6" s="34" t="str">
        <f aca="false">IF('Player Data'!D6="Spain",ROUND(100*((N('Player Data'!H6)&gt;='Model Settings'!$E$57)*'Model Settings'!$F$57+(N('Player Data'!AI6)&gt;='Model Settings'!$E$58)*'Model Settings'!$F$58+(N('Player Data'!AL6)&gt;='Model Settings'!$E$59)*'Model Settings'!$F$59+(N('Player Data'!M6)&gt;='Model Settings'!$E$60)*'Model Settings'!$F$60+(N('Player Data'!X6)&lt;='Model Settings'!$E$61)*'Model Settings'!$F$61+(N('Player Data'!Y6)&gt;='Model Settings'!$E$62)*'Model Settings'!$F$62+(N('Player Data'!P6)&gt;='Model Settings'!$E$63)*'Model Settings'!$F$63)/('Model Settings'!$F$57+'Model Settings'!$F$58+'Model Settings'!$F$59+'Model Settings'!$F$60+'Model Settings'!$F$61+'Model Settings'!$F$62+'Model Settings'!$F$63),0),"n/a")</f>
        <v>n/a</v>
      </c>
      <c r="M6" s="34" t="str">
        <f aca="false">IF('Player Data'!CA6="None","No contact yet",IF('Player Data'!CA6="Improved","Working",IF('Player Data'!CA6="No change","Review approach","Escalate")))</f>
        <v>No contact yet</v>
      </c>
      <c r="N6" s="49" t="str">
        <f aca="false">IF(OR('Player Data'!BM6="Yes",I6="Alert"),"High",IF(B6&gt;='Model Settings'!$E$67,"High",IF(OR(B6&gt;='Model Settings'!$E$66,D6&gt;='Model Settings'!$E$68,F6&gt;='Model Settings'!$E$68,K6&gt;='Model Settings'!$E$68),"Medium","Low")))</f>
        <v>Medium</v>
      </c>
      <c r="O6" s="34" t="str">
        <f aca="false">IF(N6="High","Contact player + review within 48h; stop marketing",IF(N6="Medium","Safer gambling message; monitor weekly","No action; routine monitoring"))</f>
        <v>Safer gambling message; monitor weekly</v>
      </c>
      <c r="P6" s="34" t="n">
        <f aca="false">IF(OR(N6="High",AND('Model Settings'!$E$70="High+Medium",N6="Medium")),1,0)</f>
        <v>0</v>
      </c>
      <c r="Q6" s="34" t="n">
        <f aca="false">'Player Data'!CM6</f>
        <v>0</v>
      </c>
    </row>
    <row r="7" customFormat="false" ht="15" hidden="false" customHeight="false" outlineLevel="0" collapsed="false">
      <c r="A7" s="49" t="str">
        <f aca="false">'Player Data'!A7</f>
        <v>P002</v>
      </c>
      <c r="B7" s="50" t="n">
        <f aca="false">ROUND(100*((N('Player Data'!U7)&gt;='Model Settings'!$E$5)*'Model Settings'!$F$5+(N('Player Data'!AT7)&gt;='Model Settings'!$E$6)*'Model Settings'!$F$6+(N('Player Data'!BI7)&gt;='Model Settings'!$E$7)*'Model Settings'!$F$7+(N('Player Data'!AL7)&gt;='Model Settings'!$E$8)*'Model Settings'!$F$8+(N('Player Data'!AH7)&gt;='Model Settings'!$E$9)*'Model Settings'!$F$9+(N('Player Data'!B7)&lt;='Model Settings'!$E$10)*'Model Settings'!$F$10+(N('Player Data'!M7)&gt;='Model Settings'!$E$11)*'Model Settings'!$F$11+(N('Player Data'!J7)&lt;='Model Settings'!$E$12)*'Model Settings'!$F$12+(N('Player Data'!V7)&gt;='Model Settings'!$E$13)*'Model Settings'!$F$13+(N('Player Data'!W7)&gt;='Model Settings'!$E$14)*'Model Settings'!$F$14+(N('Player Data'!AE7)&gt;='Model Settings'!$E$15)*'Model Settings'!$F$15+(N('Player Data'!BF7)&gt;='Model Settings'!$E$16)*'Model Settings'!$F$16+(N('Player Data'!AX7)&gt;='Model Settings'!$E$17)*'Model Settings'!$F$17+(N('Player Data'!AP7)&gt;='Model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7" s="34" t="str">
        <f aca="false">IF('Player Data'!E7&lt;='Model Settings'!$E$69,ROUND(100*((N('Player Data'!H7)&gt;='Model Settings'!$E$19)*'Model Settings'!$F$19+(N('Player Data'!S7)&gt;='Model Settings'!$E$20)*'Model Settings'!$F$20+(N('Player Data'!AH7)&gt;='Model Settings'!$E$21)*'Model Settings'!$F$21+(N('Player Data'!AX7)&gt;='Model Settings'!$E$22)*'Model Settings'!$F$22+(N('Player Data'!Y7)&gt;='Model Settings'!$E$23)*'Model Settings'!$F$23+(N('Player Data'!AM7)&gt;='Model Settings'!$E$24)*'Model Settings'!$F$24)/('Model Settings'!$F$19+'Model Settings'!$F$20+'Model Settings'!$F$21+'Model Settings'!$F$22+'Model Settings'!$F$23+'Model Settings'!$F$24),0),"n/a")</f>
        <v>n/a</v>
      </c>
      <c r="D7" s="50" t="n">
        <f aca="false">ROUND(100*((N('Player Data'!U7)&gt;='Model Settings'!$E$25)*'Model Settings'!$F$25+(N('Player Data'!V7)&gt;='Model Settings'!$E$26)*'Model Settings'!$F$26+(N('Player Data'!W7)&gt;='Model Settings'!$E$27)*'Model Settings'!$F$27+(N('Player Data'!AT7)&gt;='Model Settings'!$E$28)*'Model Settings'!$F$28+(N('Player Data'!AE7)&gt;='Model Settings'!$E$29)*'Model Settings'!$F$29+(N('Player Data'!AO7)&gt;='Model Settings'!$E$30)*'Model Settings'!$F$30+(N('Player Data'!AG7)&gt;='Model Settings'!$E$31)*'Model Settings'!$F$31)/('Model Settings'!$F$25+'Model Settings'!$F$26+'Model Settings'!$F$27+'Model Settings'!$F$28+'Model Settings'!$F$29+'Model Settings'!$F$30+'Model Settings'!$F$31),0)</f>
        <v>14</v>
      </c>
      <c r="E7" s="50" t="n">
        <f aca="false">ROUND(100*((N('Player Data'!Z7)&gt;='Model Settings'!$E$32)*'Model Settings'!$F$32+(N('Player Data'!BN7)&gt;='Model Settings'!$E$33)*'Model Settings'!$F$33+(N('Player Data'!BO7)&gt;='Model Settings'!$E$34)*'Model Settings'!$F$34+(N('Player Data'!BP7)&gt;='Model Settings'!$E$35)*'Model Settings'!$F$35+('Player Data'!BR7='Model Settings'!$E$36)*'Model Settings'!$F$36+(N('Player Data'!AW7)&gt;='Model Settings'!$E$37)*'Model Settings'!$F$37+(N('Player Data'!AF7)&lt;='Model Settings'!$E$38)*'Model Settings'!$F$38)/('Model Settings'!$F$32+'Model Settings'!$F$33+'Model Settings'!$F$34+'Model Settings'!$F$35+'Model Settings'!$F$36+'Model Settings'!$F$37+'Model Settings'!$F$38),0)</f>
        <v>14</v>
      </c>
      <c r="F7" s="50" t="n">
        <f aca="false">ROUND(100*((N('Player Data'!K7)&gt;='Model Settings'!$E$39)*'Model Settings'!$F$39+(N('Player Data'!P7)&gt;='Model Settings'!$E$40)*'Model Settings'!$F$40+(N('Player Data'!M7)&gt;='Model Settings'!$E$41)*'Model Settings'!$F$41+(N('Player Data'!AU7)&gt;='Model Settings'!$E$42)*'Model Settings'!$F$42+(N('Player Data'!CL7)&gt;='Model Settings'!$E$43)*'Model Settings'!$F$43+(N('Player Data'!Q7)&gt;='Model Settings'!$E$44)*'Model Settings'!$F$44)/('Model Settings'!$F$39+'Model Settings'!$F$40+'Model Settings'!$F$41+'Model Settings'!$F$42+'Model Settings'!$F$43+'Model Settings'!$F$44),0)</f>
        <v>0</v>
      </c>
      <c r="G7" s="50" t="n">
        <f aca="false">ROUND(100*((N('Player Data'!BE7)&gt;='Model Settings'!$E$45)*'Model Settings'!$F$45+(N('Player Data'!BH7)&gt;='Model Settings'!$E$46)*'Model Settings'!$F$46+(N('Player Data'!U7)&gt;='Model Settings'!$E$47)*'Model Settings'!$F$47+(N('Player Data'!BN7)&gt;='Model Settings'!$E$48)*'Model Settings'!$F$48+(N('Player Data'!AX7)&gt;='Model Settings'!$E$49)*'Model Settings'!$F$49+(N('Player Data'!BL7)&gt;='Model Settings'!$E$50)*'Model Settings'!$F$50+(N('Player Data'!BI7)&gt;='Model Settings'!$E$51)*'Model Settings'!$F$51)/('Model Settings'!$F$45+'Model Settings'!$F$46+'Model Settings'!$F$47+'Model Settings'!$F$48+'Model Settings'!$F$49+'Model Settings'!$F$50+'Model Settings'!$F$51),0)</f>
        <v>14</v>
      </c>
      <c r="H7" s="34" t="str">
        <f aca="false">IF(AND(B7&lt;'Model Settings'!$E$66,E7&lt;'Model Settings'!$E$68),"Non-problem",IF(E7&gt;='Model Settings'!$E$68,"Financially vulnerable",IF(OR(N('Player Data'!BY7)&gt;=1,N('Player Data'!BX7)&gt;=2,N('Player Data'!BW7)&gt;=3),"Emotionally vulnerable","At-risk")))</f>
        <v>Non-problem</v>
      </c>
      <c r="I7" s="34" t="str">
        <f aca="false">IF(OR(N('Player Data'!BY7)&gt;=1,'Player Data'!BZ7="Yes"),"Alert","None")</f>
        <v>None</v>
      </c>
      <c r="J7" s="34" t="str">
        <f aca="false">IF(OR(B7&gt;='Model Settings'!$E$67,'Player Data'!BM7="Yes",I7="Alert"),"Suppress",IF(AND(B7&gt;='Model Settings'!$E$66,'Player Data'!G7="Yes"),"Review VIP","Allow"))</f>
        <v>Allow</v>
      </c>
      <c r="K7" s="50" t="n">
        <f aca="false">ROUND(100*((N('Player Data'!CH7)&gt;='Model Settings'!$E$52)*'Model Settings'!$F$52+(N('Player Data'!CI7)&gt;='Model Settings'!$E$53)*'Model Settings'!$F$53+(N('Player Data'!R7)&gt;='Model Settings'!$E$54)*'Model Settings'!$F$54+(N('Player Data'!Y7)&gt;='Model Settings'!$E$55)*'Model Settings'!$F$55+(N('Player Data'!AS7)&gt;='Model Settings'!$E$56)*'Model Settings'!$F$56)/('Model Settings'!$F$52+'Model Settings'!$F$53+'Model Settings'!$F$54+'Model Settings'!$F$55+'Model Settings'!$F$56),0)</f>
        <v>0</v>
      </c>
      <c r="L7" s="34" t="str">
        <f aca="false">IF('Player Data'!D7="Spain",ROUND(100*((N('Player Data'!H7)&gt;='Model Settings'!$E$57)*'Model Settings'!$F$57+(N('Player Data'!AI7)&gt;='Model Settings'!$E$58)*'Model Settings'!$F$58+(N('Player Data'!AL7)&gt;='Model Settings'!$E$59)*'Model Settings'!$F$59+(N('Player Data'!M7)&gt;='Model Settings'!$E$60)*'Model Settings'!$F$60+(N('Player Data'!X7)&lt;='Model Settings'!$E$61)*'Model Settings'!$F$61+(N('Player Data'!Y7)&gt;='Model Settings'!$E$62)*'Model Settings'!$F$62+(N('Player Data'!P7)&gt;='Model Settings'!$E$63)*'Model Settings'!$F$63)/('Model Settings'!$F$57+'Model Settings'!$F$58+'Model Settings'!$F$59+'Model Settings'!$F$60+'Model Settings'!$F$61+'Model Settings'!$F$62+'Model Settings'!$F$63),0),"n/a")</f>
        <v>n/a</v>
      </c>
      <c r="M7" s="34" t="str">
        <f aca="false">IF('Player Data'!CA7="None","No contact yet",IF('Player Data'!CA7="Improved","Working",IF('Player Data'!CA7="No change","Review approach","Escalate")))</f>
        <v>Working</v>
      </c>
      <c r="N7" s="49" t="str">
        <f aca="false">IF(OR('Player Data'!BM7="Yes",I7="Alert"),"High",IF(B7&gt;='Model Settings'!$E$67,"High",IF(OR(B7&gt;='Model Settings'!$E$66,D7&gt;='Model Settings'!$E$68,F7&gt;='Model Settings'!$E$68,K7&gt;='Model Settings'!$E$68),"Medium","Low")))</f>
        <v>Low</v>
      </c>
      <c r="O7" s="34" t="str">
        <f aca="false">IF(N7="High","Contact player + review within 48h; stop marketing",IF(N7="Medium","Safer gambling message; monitor weekly","No action; routine monitoring"))</f>
        <v>No action; routine monitoring</v>
      </c>
      <c r="P7" s="34" t="n">
        <f aca="false">IF(OR(N7="High",AND('Model Settings'!$E$70="High+Medium",N7="Medium")),1,0)</f>
        <v>0</v>
      </c>
      <c r="Q7" s="34" t="n">
        <f aca="false">'Player Data'!CM7</f>
        <v>0</v>
      </c>
    </row>
    <row r="8" customFormat="false" ht="15" hidden="false" customHeight="false" outlineLevel="0" collapsed="false">
      <c r="A8" s="49" t="str">
        <f aca="false">'Player Data'!A8</f>
        <v>P003</v>
      </c>
      <c r="B8" s="50" t="n">
        <f aca="false">ROUND(100*((N('Player Data'!U8)&gt;='Model Settings'!$E$5)*'Model Settings'!$F$5+(N('Player Data'!AT8)&gt;='Model Settings'!$E$6)*'Model Settings'!$F$6+(N('Player Data'!BI8)&gt;='Model Settings'!$E$7)*'Model Settings'!$F$7+(N('Player Data'!AL8)&gt;='Model Settings'!$E$8)*'Model Settings'!$F$8+(N('Player Data'!AH8)&gt;='Model Settings'!$E$9)*'Model Settings'!$F$9+(N('Player Data'!B8)&lt;='Model Settings'!$E$10)*'Model Settings'!$F$10+(N('Player Data'!M8)&gt;='Model Settings'!$E$11)*'Model Settings'!$F$11+(N('Player Data'!J8)&lt;='Model Settings'!$E$12)*'Model Settings'!$F$12+(N('Player Data'!V8)&gt;='Model Settings'!$E$13)*'Model Settings'!$F$13+(N('Player Data'!W8)&gt;='Model Settings'!$E$14)*'Model Settings'!$F$14+(N('Player Data'!AE8)&gt;='Model Settings'!$E$15)*'Model Settings'!$F$15+(N('Player Data'!BF8)&gt;='Model Settings'!$E$16)*'Model Settings'!$F$16+(N('Player Data'!AX8)&gt;='Model Settings'!$E$17)*'Model Settings'!$F$17+(N('Player Data'!AP8)&gt;='Model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8" s="34" t="str">
        <f aca="false">IF('Player Data'!E8&lt;='Model Settings'!$E$69,ROUND(100*((N('Player Data'!H8)&gt;='Model Settings'!$E$19)*'Model Settings'!$F$19+(N('Player Data'!S8)&gt;='Model Settings'!$E$20)*'Model Settings'!$F$20+(N('Player Data'!AH8)&gt;='Model Settings'!$E$21)*'Model Settings'!$F$21+(N('Player Data'!AX8)&gt;='Model Settings'!$E$22)*'Model Settings'!$F$22+(N('Player Data'!Y8)&gt;='Model Settings'!$E$23)*'Model Settings'!$F$23+(N('Player Data'!AM8)&gt;='Model Settings'!$E$24)*'Model Settings'!$F$24)/('Model Settings'!$F$19+'Model Settings'!$F$20+'Model Settings'!$F$21+'Model Settings'!$F$22+'Model Settings'!$F$23+'Model Settings'!$F$24),0),"n/a")</f>
        <v>n/a</v>
      </c>
      <c r="D8" s="50" t="n">
        <f aca="false">ROUND(100*((N('Player Data'!U8)&gt;='Model Settings'!$E$25)*'Model Settings'!$F$25+(N('Player Data'!V8)&gt;='Model Settings'!$E$26)*'Model Settings'!$F$26+(N('Player Data'!W8)&gt;='Model Settings'!$E$27)*'Model Settings'!$F$27+(N('Player Data'!AT8)&gt;='Model Settings'!$E$28)*'Model Settings'!$F$28+(N('Player Data'!AE8)&gt;='Model Settings'!$E$29)*'Model Settings'!$F$29+(N('Player Data'!AO8)&gt;='Model Settings'!$E$30)*'Model Settings'!$F$30+(N('Player Data'!AG8)&gt;='Model Settings'!$E$31)*'Model Settings'!$F$31)/('Model Settings'!$F$25+'Model Settings'!$F$26+'Model Settings'!$F$27+'Model Settings'!$F$28+'Model Settings'!$F$29+'Model Settings'!$F$30+'Model Settings'!$F$31),0)</f>
        <v>14</v>
      </c>
      <c r="E8" s="50" t="n">
        <f aca="false">ROUND(100*((N('Player Data'!Z8)&gt;='Model Settings'!$E$32)*'Model Settings'!$F$32+(N('Player Data'!BN8)&gt;='Model Settings'!$E$33)*'Model Settings'!$F$33+(N('Player Data'!BO8)&gt;='Model Settings'!$E$34)*'Model Settings'!$F$34+(N('Player Data'!BP8)&gt;='Model Settings'!$E$35)*'Model Settings'!$F$35+('Player Data'!BR8='Model Settings'!$E$36)*'Model Settings'!$F$36+(N('Player Data'!AW8)&gt;='Model Settings'!$E$37)*'Model Settings'!$F$37+(N('Player Data'!AF8)&lt;='Model Settings'!$E$38)*'Model Settings'!$F$38)/('Model Settings'!$F$32+'Model Settings'!$F$33+'Model Settings'!$F$34+'Model Settings'!$F$35+'Model Settings'!$F$36+'Model Settings'!$F$37+'Model Settings'!$F$38),0)</f>
        <v>14</v>
      </c>
      <c r="F8" s="50" t="n">
        <f aca="false">ROUND(100*((N('Player Data'!K8)&gt;='Model Settings'!$E$39)*'Model Settings'!$F$39+(N('Player Data'!P8)&gt;='Model Settings'!$E$40)*'Model Settings'!$F$40+(N('Player Data'!M8)&gt;='Model Settings'!$E$41)*'Model Settings'!$F$41+(N('Player Data'!AU8)&gt;='Model Settings'!$E$42)*'Model Settings'!$F$42+(N('Player Data'!CL8)&gt;='Model Settings'!$E$43)*'Model Settings'!$F$43+(N('Player Data'!Q8)&gt;='Model Settings'!$E$44)*'Model Settings'!$F$44)/('Model Settings'!$F$39+'Model Settings'!$F$40+'Model Settings'!$F$41+'Model Settings'!$F$42+'Model Settings'!$F$43+'Model Settings'!$F$44),0)</f>
        <v>0</v>
      </c>
      <c r="G8" s="50" t="n">
        <f aca="false">ROUND(100*((N('Player Data'!BE8)&gt;='Model Settings'!$E$45)*'Model Settings'!$F$45+(N('Player Data'!BH8)&gt;='Model Settings'!$E$46)*'Model Settings'!$F$46+(N('Player Data'!U8)&gt;='Model Settings'!$E$47)*'Model Settings'!$F$47+(N('Player Data'!BN8)&gt;='Model Settings'!$E$48)*'Model Settings'!$F$48+(N('Player Data'!AX8)&gt;='Model Settings'!$E$49)*'Model Settings'!$F$49+(N('Player Data'!BL8)&gt;='Model Settings'!$E$50)*'Model Settings'!$F$50+(N('Player Data'!BI8)&gt;='Model Settings'!$E$51)*'Model Settings'!$F$51)/('Model Settings'!$F$45+'Model Settings'!$F$46+'Model Settings'!$F$47+'Model Settings'!$F$48+'Model Settings'!$F$49+'Model Settings'!$F$50+'Model Settings'!$F$51),0)</f>
        <v>0</v>
      </c>
      <c r="H8" s="34" t="str">
        <f aca="false">IF(AND(B8&lt;'Model Settings'!$E$66,E8&lt;'Model Settings'!$E$68),"Non-problem",IF(E8&gt;='Model Settings'!$E$68,"Financially vulnerable",IF(OR(N('Player Data'!BY8)&gt;=1,N('Player Data'!BX8)&gt;=2,N('Player Data'!BW8)&gt;=3),"Emotionally vulnerable","At-risk")))</f>
        <v>Non-problem</v>
      </c>
      <c r="I8" s="34" t="str">
        <f aca="false">IF(OR(N('Player Data'!BY8)&gt;=1,'Player Data'!BZ8="Yes"),"Alert","None")</f>
        <v>None</v>
      </c>
      <c r="J8" s="34" t="str">
        <f aca="false">IF(OR(B8&gt;='Model Settings'!$E$67,'Player Data'!BM8="Yes",I8="Alert"),"Suppress",IF(AND(B8&gt;='Model Settings'!$E$66,'Player Data'!G8="Yes"),"Review VIP","Allow"))</f>
        <v>Allow</v>
      </c>
      <c r="K8" s="50" t="n">
        <f aca="false">ROUND(100*((N('Player Data'!CH8)&gt;='Model Settings'!$E$52)*'Model Settings'!$F$52+(N('Player Data'!CI8)&gt;='Model Settings'!$E$53)*'Model Settings'!$F$53+(N('Player Data'!R8)&gt;='Model Settings'!$E$54)*'Model Settings'!$F$54+(N('Player Data'!Y8)&gt;='Model Settings'!$E$55)*'Model Settings'!$F$55+(N('Player Data'!AS8)&gt;='Model Settings'!$E$56)*'Model Settings'!$F$56)/('Model Settings'!$F$52+'Model Settings'!$F$53+'Model Settings'!$F$54+'Model Settings'!$F$55+'Model Settings'!$F$56),0)</f>
        <v>0</v>
      </c>
      <c r="L8" s="34" t="n">
        <f aca="false">IF('Player Data'!D8="Spain",ROUND(100*((N('Player Data'!H8)&gt;='Model Settings'!$E$57)*'Model Settings'!$F$57+(N('Player Data'!AI8)&gt;='Model Settings'!$E$58)*'Model Settings'!$F$58+(N('Player Data'!AL8)&gt;='Model Settings'!$E$59)*'Model Settings'!$F$59+(N('Player Data'!M8)&gt;='Model Settings'!$E$60)*'Model Settings'!$F$60+(N('Player Data'!X8)&lt;='Model Settings'!$E$61)*'Model Settings'!$F$61+(N('Player Data'!Y8)&gt;='Model Settings'!$E$62)*'Model Settings'!$F$62+(N('Player Data'!P8)&gt;='Model Settings'!$E$63)*'Model Settings'!$F$63)/('Model Settings'!$F$57+'Model Settings'!$F$58+'Model Settings'!$F$59+'Model Settings'!$F$60+'Model Settings'!$F$61+'Model Settings'!$F$62+'Model Settings'!$F$63),0),"n/a")</f>
        <v>0</v>
      </c>
      <c r="M8" s="34" t="str">
        <f aca="false">IF('Player Data'!CA8="None","No contact yet",IF('Player Data'!CA8="Improved","Working",IF('Player Data'!CA8="No change","Review approach","Escalate")))</f>
        <v>Working</v>
      </c>
      <c r="N8" s="49" t="str">
        <f aca="false">IF(OR('Player Data'!BM8="Yes",I8="Alert"),"High",IF(B8&gt;='Model Settings'!$E$67,"High",IF(OR(B8&gt;='Model Settings'!$E$66,D8&gt;='Model Settings'!$E$68,F8&gt;='Model Settings'!$E$68,K8&gt;='Model Settings'!$E$68),"Medium","Low")))</f>
        <v>Low</v>
      </c>
      <c r="O8" s="34" t="str">
        <f aca="false">IF(N8="High","Contact player + review within 48h; stop marketing",IF(N8="Medium","Safer gambling message; monitor weekly","No action; routine monitoring"))</f>
        <v>No action; routine monitoring</v>
      </c>
      <c r="P8" s="34" t="n">
        <f aca="false">IF(OR(N8="High",AND('Model Settings'!$E$70="High+Medium",N8="Medium")),1,0)</f>
        <v>0</v>
      </c>
      <c r="Q8" s="34" t="n">
        <f aca="false">'Player Data'!CM8</f>
        <v>0</v>
      </c>
    </row>
    <row r="9" customFormat="false" ht="15" hidden="false" customHeight="false" outlineLevel="0" collapsed="false">
      <c r="A9" s="49" t="str">
        <f aca="false">'Player Data'!A9</f>
        <v>P004</v>
      </c>
      <c r="B9" s="50" t="n">
        <f aca="false">ROUND(100*((N('Player Data'!U9)&gt;='Model Settings'!$E$5)*'Model Settings'!$F$5+(N('Player Data'!AT9)&gt;='Model Settings'!$E$6)*'Model Settings'!$F$6+(N('Player Data'!BI9)&gt;='Model Settings'!$E$7)*'Model Settings'!$F$7+(N('Player Data'!AL9)&gt;='Model Settings'!$E$8)*'Model Settings'!$F$8+(N('Player Data'!AH9)&gt;='Model Settings'!$E$9)*'Model Settings'!$F$9+(N('Player Data'!B9)&lt;='Model Settings'!$E$10)*'Model Settings'!$F$10+(N('Player Data'!M9)&gt;='Model Settings'!$E$11)*'Model Settings'!$F$11+(N('Player Data'!J9)&lt;='Model Settings'!$E$12)*'Model Settings'!$F$12+(N('Player Data'!V9)&gt;='Model Settings'!$E$13)*'Model Settings'!$F$13+(N('Player Data'!W9)&gt;='Model Settings'!$E$14)*'Model Settings'!$F$14+(N('Player Data'!AE9)&gt;='Model Settings'!$E$15)*'Model Settings'!$F$15+(N('Player Data'!BF9)&gt;='Model Settings'!$E$16)*'Model Settings'!$F$16+(N('Player Data'!AX9)&gt;='Model Settings'!$E$17)*'Model Settings'!$F$17+(N('Player Data'!AP9)&gt;='Model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9" s="34" t="str">
        <f aca="false">IF('Player Data'!E9&lt;='Model Settings'!$E$69,ROUND(100*((N('Player Data'!H9)&gt;='Model Settings'!$E$19)*'Model Settings'!$F$19+(N('Player Data'!S9)&gt;='Model Settings'!$E$20)*'Model Settings'!$F$20+(N('Player Data'!AH9)&gt;='Model Settings'!$E$21)*'Model Settings'!$F$21+(N('Player Data'!AX9)&gt;='Model Settings'!$E$22)*'Model Settings'!$F$22+(N('Player Data'!Y9)&gt;='Model Settings'!$E$23)*'Model Settings'!$F$23+(N('Player Data'!AM9)&gt;='Model Settings'!$E$24)*'Model Settings'!$F$24)/('Model Settings'!$F$19+'Model Settings'!$F$20+'Model Settings'!$F$21+'Model Settings'!$F$22+'Model Settings'!$F$23+'Model Settings'!$F$24),0),"n/a")</f>
        <v>n/a</v>
      </c>
      <c r="D9" s="50" t="n">
        <f aca="false">ROUND(100*((N('Player Data'!U9)&gt;='Model Settings'!$E$25)*'Model Settings'!$F$25+(N('Player Data'!V9)&gt;='Model Settings'!$E$26)*'Model Settings'!$F$26+(N('Player Data'!W9)&gt;='Model Settings'!$E$27)*'Model Settings'!$F$27+(N('Player Data'!AT9)&gt;='Model Settings'!$E$28)*'Model Settings'!$F$28+(N('Player Data'!AE9)&gt;='Model Settings'!$E$29)*'Model Settings'!$F$29+(N('Player Data'!AO9)&gt;='Model Settings'!$E$30)*'Model Settings'!$F$30+(N('Player Data'!AG9)&gt;='Model Settings'!$E$31)*'Model Settings'!$F$31)/('Model Settings'!$F$25+'Model Settings'!$F$26+'Model Settings'!$F$27+'Model Settings'!$F$28+'Model Settings'!$F$29+'Model Settings'!$F$30+'Model Settings'!$F$31),0)</f>
        <v>14</v>
      </c>
      <c r="E9" s="50" t="n">
        <f aca="false">ROUND(100*((N('Player Data'!Z9)&gt;='Model Settings'!$E$32)*'Model Settings'!$F$32+(N('Player Data'!BN9)&gt;='Model Settings'!$E$33)*'Model Settings'!$F$33+(N('Player Data'!BO9)&gt;='Model Settings'!$E$34)*'Model Settings'!$F$34+(N('Player Data'!BP9)&gt;='Model Settings'!$E$35)*'Model Settings'!$F$35+('Player Data'!BR9='Model Settings'!$E$36)*'Model Settings'!$F$36+(N('Player Data'!AW9)&gt;='Model Settings'!$E$37)*'Model Settings'!$F$37+(N('Player Data'!AF9)&lt;='Model Settings'!$E$38)*'Model Settings'!$F$38)/('Model Settings'!$F$32+'Model Settings'!$F$33+'Model Settings'!$F$34+'Model Settings'!$F$35+'Model Settings'!$F$36+'Model Settings'!$F$37+'Model Settings'!$F$38),0)</f>
        <v>0</v>
      </c>
      <c r="F9" s="50" t="n">
        <f aca="false">ROUND(100*((N('Player Data'!K9)&gt;='Model Settings'!$E$39)*'Model Settings'!$F$39+(N('Player Data'!P9)&gt;='Model Settings'!$E$40)*'Model Settings'!$F$40+(N('Player Data'!M9)&gt;='Model Settings'!$E$41)*'Model Settings'!$F$41+(N('Player Data'!AU9)&gt;='Model Settings'!$E$42)*'Model Settings'!$F$42+(N('Player Data'!CL9)&gt;='Model Settings'!$E$43)*'Model Settings'!$F$43+(N('Player Data'!Q9)&gt;='Model Settings'!$E$44)*'Model Settings'!$F$44)/('Model Settings'!$F$39+'Model Settings'!$F$40+'Model Settings'!$F$41+'Model Settings'!$F$42+'Model Settings'!$F$43+'Model Settings'!$F$44),0)</f>
        <v>0</v>
      </c>
      <c r="G9" s="50" t="n">
        <f aca="false">ROUND(100*((N('Player Data'!BE9)&gt;='Model Settings'!$E$45)*'Model Settings'!$F$45+(N('Player Data'!BH9)&gt;='Model Settings'!$E$46)*'Model Settings'!$F$46+(N('Player Data'!U9)&gt;='Model Settings'!$E$47)*'Model Settings'!$F$47+(N('Player Data'!BN9)&gt;='Model Settings'!$E$48)*'Model Settings'!$F$48+(N('Player Data'!AX9)&gt;='Model Settings'!$E$49)*'Model Settings'!$F$49+(N('Player Data'!BL9)&gt;='Model Settings'!$E$50)*'Model Settings'!$F$50+(N('Player Data'!BI9)&gt;='Model Settings'!$E$51)*'Model Settings'!$F$51)/('Model Settings'!$F$45+'Model Settings'!$F$46+'Model Settings'!$F$47+'Model Settings'!$F$48+'Model Settings'!$F$49+'Model Settings'!$F$50+'Model Settings'!$F$51),0)</f>
        <v>0</v>
      </c>
      <c r="H9" s="34" t="str">
        <f aca="false">IF(AND(B9&lt;'Model Settings'!$E$66,E9&lt;'Model Settings'!$E$68),"Non-problem",IF(E9&gt;='Model Settings'!$E$68,"Financially vulnerable",IF(OR(N('Player Data'!BY9)&gt;=1,N('Player Data'!BX9)&gt;=2,N('Player Data'!BW9)&gt;=3),"Emotionally vulnerable","At-risk")))</f>
        <v>Non-problem</v>
      </c>
      <c r="I9" s="34" t="str">
        <f aca="false">IF(OR(N('Player Data'!BY9)&gt;=1,'Player Data'!BZ9="Yes"),"Alert","None")</f>
        <v>None</v>
      </c>
      <c r="J9" s="34" t="str">
        <f aca="false">IF(OR(B9&gt;='Model Settings'!$E$67,'Player Data'!BM9="Yes",I9="Alert"),"Suppress",IF(AND(B9&gt;='Model Settings'!$E$66,'Player Data'!G9="Yes"),"Review VIP","Allow"))</f>
        <v>Allow</v>
      </c>
      <c r="K9" s="50" t="n">
        <f aca="false">ROUND(100*((N('Player Data'!CH9)&gt;='Model Settings'!$E$52)*'Model Settings'!$F$52+(N('Player Data'!CI9)&gt;='Model Settings'!$E$53)*'Model Settings'!$F$53+(N('Player Data'!R9)&gt;='Model Settings'!$E$54)*'Model Settings'!$F$54+(N('Player Data'!Y9)&gt;='Model Settings'!$E$55)*'Model Settings'!$F$55+(N('Player Data'!AS9)&gt;='Model Settings'!$E$56)*'Model Settings'!$F$56)/('Model Settings'!$F$52+'Model Settings'!$F$53+'Model Settings'!$F$54+'Model Settings'!$F$55+'Model Settings'!$F$56),0)</f>
        <v>20</v>
      </c>
      <c r="L9" s="34" t="n">
        <f aca="false">IF('Player Data'!D9="Spain",ROUND(100*((N('Player Data'!H9)&gt;='Model Settings'!$E$57)*'Model Settings'!$F$57+(N('Player Data'!AI9)&gt;='Model Settings'!$E$58)*'Model Settings'!$F$58+(N('Player Data'!AL9)&gt;='Model Settings'!$E$59)*'Model Settings'!$F$59+(N('Player Data'!M9)&gt;='Model Settings'!$E$60)*'Model Settings'!$F$60+(N('Player Data'!X9)&lt;='Model Settings'!$E$61)*'Model Settings'!$F$61+(N('Player Data'!Y9)&gt;='Model Settings'!$E$62)*'Model Settings'!$F$62+(N('Player Data'!P9)&gt;='Model Settings'!$E$63)*'Model Settings'!$F$63)/('Model Settings'!$F$57+'Model Settings'!$F$58+'Model Settings'!$F$59+'Model Settings'!$F$60+'Model Settings'!$F$61+'Model Settings'!$F$62+'Model Settings'!$F$63),0),"n/a")</f>
        <v>0</v>
      </c>
      <c r="M9" s="34" t="str">
        <f aca="false">IF('Player Data'!CA9="None","No contact yet",IF('Player Data'!CA9="Improved","Working",IF('Player Data'!CA9="No change","Review approach","Escalate")))</f>
        <v>No contact yet</v>
      </c>
      <c r="N9" s="49" t="str">
        <f aca="false">IF(OR('Player Data'!BM9="Yes",I9="Alert"),"High",IF(B9&gt;='Model Settings'!$E$67,"High",IF(OR(B9&gt;='Model Settings'!$E$66,D9&gt;='Model Settings'!$E$68,F9&gt;='Model Settings'!$E$68,K9&gt;='Model Settings'!$E$68),"Medium","Low")))</f>
        <v>Low</v>
      </c>
      <c r="O9" s="34" t="str">
        <f aca="false">IF(N9="High","Contact player + review within 48h; stop marketing",IF(N9="Medium","Safer gambling message; monitor weekly","No action; routine monitoring"))</f>
        <v>No action; routine monitoring</v>
      </c>
      <c r="P9" s="34" t="n">
        <f aca="false">IF(OR(N9="High",AND('Model Settings'!$E$70="High+Medium",N9="Medium")),1,0)</f>
        <v>0</v>
      </c>
      <c r="Q9" s="34" t="n">
        <f aca="false">'Player Data'!CM9</f>
        <v>0</v>
      </c>
    </row>
    <row r="10" customFormat="false" ht="15" hidden="false" customHeight="false" outlineLevel="0" collapsed="false">
      <c r="A10" s="49" t="str">
        <f aca="false">'Player Data'!A10</f>
        <v>P005</v>
      </c>
      <c r="B10" s="50" t="n">
        <f aca="false">ROUND(100*((N('Player Data'!U10)&gt;='Model Settings'!$E$5)*'Model Settings'!$F$5+(N('Player Data'!AT10)&gt;='Model Settings'!$E$6)*'Model Settings'!$F$6+(N('Player Data'!BI10)&gt;='Model Settings'!$E$7)*'Model Settings'!$F$7+(N('Player Data'!AL10)&gt;='Model Settings'!$E$8)*'Model Settings'!$F$8+(N('Player Data'!AH10)&gt;='Model Settings'!$E$9)*'Model Settings'!$F$9+(N('Player Data'!B10)&lt;='Model Settings'!$E$10)*'Model Settings'!$F$10+(N('Player Data'!M10)&gt;='Model Settings'!$E$11)*'Model Settings'!$F$11+(N('Player Data'!J10)&lt;='Model Settings'!$E$12)*'Model Settings'!$F$12+(N('Player Data'!V10)&gt;='Model Settings'!$E$13)*'Model Settings'!$F$13+(N('Player Data'!W10)&gt;='Model Settings'!$E$14)*'Model Settings'!$F$14+(N('Player Data'!AE10)&gt;='Model Settings'!$E$15)*'Model Settings'!$F$15+(N('Player Data'!BF10)&gt;='Model Settings'!$E$16)*'Model Settings'!$F$16+(N('Player Data'!AX10)&gt;='Model Settings'!$E$17)*'Model Settings'!$F$17+(N('Player Data'!AP10)&gt;='Model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0" s="34" t="str">
        <f aca="false">IF('Player Data'!E10&lt;='Model Settings'!$E$69,ROUND(100*((N('Player Data'!H10)&gt;='Model Settings'!$E$19)*'Model Settings'!$F$19+(N('Player Data'!S10)&gt;='Model Settings'!$E$20)*'Model Settings'!$F$20+(N('Player Data'!AH10)&gt;='Model Settings'!$E$21)*'Model Settings'!$F$21+(N('Player Data'!AX10)&gt;='Model Settings'!$E$22)*'Model Settings'!$F$22+(N('Player Data'!Y10)&gt;='Model Settings'!$E$23)*'Model Settings'!$F$23+(N('Player Data'!AM10)&gt;='Model Settings'!$E$24)*'Model Settings'!$F$24)/('Model Settings'!$F$19+'Model Settings'!$F$20+'Model Settings'!$F$21+'Model Settings'!$F$22+'Model Settings'!$F$23+'Model Settings'!$F$24),0),"n/a")</f>
        <v>n/a</v>
      </c>
      <c r="D10" s="50" t="n">
        <f aca="false">ROUND(100*((N('Player Data'!U10)&gt;='Model Settings'!$E$25)*'Model Settings'!$F$25+(N('Player Data'!V10)&gt;='Model Settings'!$E$26)*'Model Settings'!$F$26+(N('Player Data'!W10)&gt;='Model Settings'!$E$27)*'Model Settings'!$F$27+(N('Player Data'!AT10)&gt;='Model Settings'!$E$28)*'Model Settings'!$F$28+(N('Player Data'!AE10)&gt;='Model Settings'!$E$29)*'Model Settings'!$F$29+(N('Player Data'!AO10)&gt;='Model Settings'!$E$30)*'Model Settings'!$F$30+(N('Player Data'!AG10)&gt;='Model Settings'!$E$31)*'Model Settings'!$F$31)/('Model Settings'!$F$25+'Model Settings'!$F$26+'Model Settings'!$F$27+'Model Settings'!$F$28+'Model Settings'!$F$29+'Model Settings'!$F$30+'Model Settings'!$F$31),0)</f>
        <v>0</v>
      </c>
      <c r="E10" s="50" t="n">
        <f aca="false">ROUND(100*((N('Player Data'!Z10)&gt;='Model Settings'!$E$32)*'Model Settings'!$F$32+(N('Player Data'!BN10)&gt;='Model Settings'!$E$33)*'Model Settings'!$F$33+(N('Player Data'!BO10)&gt;='Model Settings'!$E$34)*'Model Settings'!$F$34+(N('Player Data'!BP10)&gt;='Model Settings'!$E$35)*'Model Settings'!$F$35+('Player Data'!BR10='Model Settings'!$E$36)*'Model Settings'!$F$36+(N('Player Data'!AW10)&gt;='Model Settings'!$E$37)*'Model Settings'!$F$37+(N('Player Data'!AF10)&lt;='Model Settings'!$E$38)*'Model Settings'!$F$38)/('Model Settings'!$F$32+'Model Settings'!$F$33+'Model Settings'!$F$34+'Model Settings'!$F$35+'Model Settings'!$F$36+'Model Settings'!$F$37+'Model Settings'!$F$38),0)</f>
        <v>0</v>
      </c>
      <c r="F10" s="50" t="n">
        <f aca="false">ROUND(100*((N('Player Data'!K10)&gt;='Model Settings'!$E$39)*'Model Settings'!$F$39+(N('Player Data'!P10)&gt;='Model Settings'!$E$40)*'Model Settings'!$F$40+(N('Player Data'!M10)&gt;='Model Settings'!$E$41)*'Model Settings'!$F$41+(N('Player Data'!AU10)&gt;='Model Settings'!$E$42)*'Model Settings'!$F$42+(N('Player Data'!CL10)&gt;='Model Settings'!$E$43)*'Model Settings'!$F$43+(N('Player Data'!Q10)&gt;='Model Settings'!$E$44)*'Model Settings'!$F$44)/('Model Settings'!$F$39+'Model Settings'!$F$40+'Model Settings'!$F$41+'Model Settings'!$F$42+'Model Settings'!$F$43+'Model Settings'!$F$44),0)</f>
        <v>0</v>
      </c>
      <c r="G10" s="50" t="n">
        <f aca="false">ROUND(100*((N('Player Data'!BE10)&gt;='Model Settings'!$E$45)*'Model Settings'!$F$45+(N('Player Data'!BH10)&gt;='Model Settings'!$E$46)*'Model Settings'!$F$46+(N('Player Data'!U10)&gt;='Model Settings'!$E$47)*'Model Settings'!$F$47+(N('Player Data'!BN10)&gt;='Model Settings'!$E$48)*'Model Settings'!$F$48+(N('Player Data'!AX10)&gt;='Model Settings'!$E$49)*'Model Settings'!$F$49+(N('Player Data'!BL10)&gt;='Model Settings'!$E$50)*'Model Settings'!$F$50+(N('Player Data'!BI10)&gt;='Model Settings'!$E$51)*'Model Settings'!$F$51)/('Model Settings'!$F$45+'Model Settings'!$F$46+'Model Settings'!$F$47+'Model Settings'!$F$48+'Model Settings'!$F$49+'Model Settings'!$F$50+'Model Settings'!$F$51),0)</f>
        <v>0</v>
      </c>
      <c r="H10" s="34" t="str">
        <f aca="false">IF(AND(B10&lt;'Model Settings'!$E$66,E10&lt;'Model Settings'!$E$68),"Non-problem",IF(E10&gt;='Model Settings'!$E$68,"Financially vulnerable",IF(OR(N('Player Data'!BY10)&gt;=1,N('Player Data'!BX10)&gt;=2,N('Player Data'!BW10)&gt;=3),"Emotionally vulnerable","At-risk")))</f>
        <v>Non-problem</v>
      </c>
      <c r="I10" s="34" t="str">
        <f aca="false">IF(OR(N('Player Data'!BY10)&gt;=1,'Player Data'!BZ10="Yes"),"Alert","None")</f>
        <v>None</v>
      </c>
      <c r="J10" s="34" t="str">
        <f aca="false">IF(OR(B10&gt;='Model Settings'!$E$67,'Player Data'!BM10="Yes",I10="Alert"),"Suppress",IF(AND(B10&gt;='Model Settings'!$E$66,'Player Data'!G10="Yes"),"Review VIP","Allow"))</f>
        <v>Allow</v>
      </c>
      <c r="K10" s="50" t="n">
        <f aca="false">ROUND(100*((N('Player Data'!CH10)&gt;='Model Settings'!$E$52)*'Model Settings'!$F$52+(N('Player Data'!CI10)&gt;='Model Settings'!$E$53)*'Model Settings'!$F$53+(N('Player Data'!R10)&gt;='Model Settings'!$E$54)*'Model Settings'!$F$54+(N('Player Data'!Y10)&gt;='Model Settings'!$E$55)*'Model Settings'!$F$55+(N('Player Data'!AS10)&gt;='Model Settings'!$E$56)*'Model Settings'!$F$56)/('Model Settings'!$F$52+'Model Settings'!$F$53+'Model Settings'!$F$54+'Model Settings'!$F$55+'Model Settings'!$F$56),0)</f>
        <v>0</v>
      </c>
      <c r="L10" s="34" t="n">
        <f aca="false">IF('Player Data'!D10="Spain",ROUND(100*((N('Player Data'!H10)&gt;='Model Settings'!$E$57)*'Model Settings'!$F$57+(N('Player Data'!AI10)&gt;='Model Settings'!$E$58)*'Model Settings'!$F$58+(N('Player Data'!AL10)&gt;='Model Settings'!$E$59)*'Model Settings'!$F$59+(N('Player Data'!M10)&gt;='Model Settings'!$E$60)*'Model Settings'!$F$60+(N('Player Data'!X10)&lt;='Model Settings'!$E$61)*'Model Settings'!$F$61+(N('Player Data'!Y10)&gt;='Model Settings'!$E$62)*'Model Settings'!$F$62+(N('Player Data'!P10)&gt;='Model Settings'!$E$63)*'Model Settings'!$F$63)/('Model Settings'!$F$57+'Model Settings'!$F$58+'Model Settings'!$F$59+'Model Settings'!$F$60+'Model Settings'!$F$61+'Model Settings'!$F$62+'Model Settings'!$F$63),0),"n/a")</f>
        <v>0</v>
      </c>
      <c r="M10" s="34" t="str">
        <f aca="false">IF('Player Data'!CA10="None","No contact yet",IF('Player Data'!CA10="Improved","Working",IF('Player Data'!CA10="No change","Review approach","Escalate")))</f>
        <v>No contact yet</v>
      </c>
      <c r="N10" s="49" t="str">
        <f aca="false">IF(OR('Player Data'!BM10="Yes",I10="Alert"),"High",IF(B10&gt;='Model Settings'!$E$67,"High",IF(OR(B10&gt;='Model Settings'!$E$66,D10&gt;='Model Settings'!$E$68,F10&gt;='Model Settings'!$E$68,K10&gt;='Model Settings'!$E$68),"Medium","Low")))</f>
        <v>Low</v>
      </c>
      <c r="O10" s="34" t="str">
        <f aca="false">IF(N10="High","Contact player + review within 48h; stop marketing",IF(N10="Medium","Safer gambling message; monitor weekly","No action; routine monitoring"))</f>
        <v>No action; routine monitoring</v>
      </c>
      <c r="P10" s="34" t="n">
        <f aca="false">IF(OR(N10="High",AND('Model Settings'!$E$70="High+Medium",N10="Medium")),1,0)</f>
        <v>0</v>
      </c>
      <c r="Q10" s="34" t="n">
        <f aca="false">'Player Data'!CM10</f>
        <v>0</v>
      </c>
    </row>
    <row r="11" customFormat="false" ht="15" hidden="false" customHeight="false" outlineLevel="0" collapsed="false">
      <c r="A11" s="49" t="str">
        <f aca="false">'Player Data'!A11</f>
        <v>P006</v>
      </c>
      <c r="B11" s="50" t="n">
        <f aca="false">ROUND(100*((N('Player Data'!U11)&gt;='Model Settings'!$E$5)*'Model Settings'!$F$5+(N('Player Data'!AT11)&gt;='Model Settings'!$E$6)*'Model Settings'!$F$6+(N('Player Data'!BI11)&gt;='Model Settings'!$E$7)*'Model Settings'!$F$7+(N('Player Data'!AL11)&gt;='Model Settings'!$E$8)*'Model Settings'!$F$8+(N('Player Data'!AH11)&gt;='Model Settings'!$E$9)*'Model Settings'!$F$9+(N('Player Data'!B11)&lt;='Model Settings'!$E$10)*'Model Settings'!$F$10+(N('Player Data'!M11)&gt;='Model Settings'!$E$11)*'Model Settings'!$F$11+(N('Player Data'!J11)&lt;='Model Settings'!$E$12)*'Model Settings'!$F$12+(N('Player Data'!V11)&gt;='Model Settings'!$E$13)*'Model Settings'!$F$13+(N('Player Data'!W11)&gt;='Model Settings'!$E$14)*'Model Settings'!$F$14+(N('Player Data'!AE11)&gt;='Model Settings'!$E$15)*'Model Settings'!$F$15+(N('Player Data'!BF11)&gt;='Model Settings'!$E$16)*'Model Settings'!$F$16+(N('Player Data'!AX11)&gt;='Model Settings'!$E$17)*'Model Settings'!$F$17+(N('Player Data'!AP11)&gt;='Model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1" s="34" t="str">
        <f aca="false">IF('Player Data'!E11&lt;='Model Settings'!$E$69,ROUND(100*((N('Player Data'!H11)&gt;='Model Settings'!$E$19)*'Model Settings'!$F$19+(N('Player Data'!S11)&gt;='Model Settings'!$E$20)*'Model Settings'!$F$20+(N('Player Data'!AH11)&gt;='Model Settings'!$E$21)*'Model Settings'!$F$21+(N('Player Data'!AX11)&gt;='Model Settings'!$E$22)*'Model Settings'!$F$22+(N('Player Data'!Y11)&gt;='Model Settings'!$E$23)*'Model Settings'!$F$23+(N('Player Data'!AM11)&gt;='Model Settings'!$E$24)*'Model Settings'!$F$24)/('Model Settings'!$F$19+'Model Settings'!$F$20+'Model Settings'!$F$21+'Model Settings'!$F$22+'Model Settings'!$F$23+'Model Settings'!$F$24),0),"n/a")</f>
        <v>n/a</v>
      </c>
      <c r="D11" s="50" t="n">
        <f aca="false">ROUND(100*((N('Player Data'!U11)&gt;='Model Settings'!$E$25)*'Model Settings'!$F$25+(N('Player Data'!V11)&gt;='Model Settings'!$E$26)*'Model Settings'!$F$26+(N('Player Data'!W11)&gt;='Model Settings'!$E$27)*'Model Settings'!$F$27+(N('Player Data'!AT11)&gt;='Model Settings'!$E$28)*'Model Settings'!$F$28+(N('Player Data'!AE11)&gt;='Model Settings'!$E$29)*'Model Settings'!$F$29+(N('Player Data'!AO11)&gt;='Model Settings'!$E$30)*'Model Settings'!$F$30+(N('Player Data'!AG11)&gt;='Model Settings'!$E$31)*'Model Settings'!$F$31)/('Model Settings'!$F$25+'Model Settings'!$F$26+'Model Settings'!$F$27+'Model Settings'!$F$28+'Model Settings'!$F$29+'Model Settings'!$F$30+'Model Settings'!$F$31),0)</f>
        <v>0</v>
      </c>
      <c r="E11" s="50" t="n">
        <f aca="false">ROUND(100*((N('Player Data'!Z11)&gt;='Model Settings'!$E$32)*'Model Settings'!$F$32+(N('Player Data'!BN11)&gt;='Model Settings'!$E$33)*'Model Settings'!$F$33+(N('Player Data'!BO11)&gt;='Model Settings'!$E$34)*'Model Settings'!$F$34+(N('Player Data'!BP11)&gt;='Model Settings'!$E$35)*'Model Settings'!$F$35+('Player Data'!BR11='Model Settings'!$E$36)*'Model Settings'!$F$36+(N('Player Data'!AW11)&gt;='Model Settings'!$E$37)*'Model Settings'!$F$37+(N('Player Data'!AF11)&lt;='Model Settings'!$E$38)*'Model Settings'!$F$38)/('Model Settings'!$F$32+'Model Settings'!$F$33+'Model Settings'!$F$34+'Model Settings'!$F$35+'Model Settings'!$F$36+'Model Settings'!$F$37+'Model Settings'!$F$38),0)</f>
        <v>0</v>
      </c>
      <c r="F11" s="50" t="n">
        <f aca="false">ROUND(100*((N('Player Data'!K11)&gt;='Model Settings'!$E$39)*'Model Settings'!$F$39+(N('Player Data'!P11)&gt;='Model Settings'!$E$40)*'Model Settings'!$F$40+(N('Player Data'!M11)&gt;='Model Settings'!$E$41)*'Model Settings'!$F$41+(N('Player Data'!AU11)&gt;='Model Settings'!$E$42)*'Model Settings'!$F$42+(N('Player Data'!CL11)&gt;='Model Settings'!$E$43)*'Model Settings'!$F$43+(N('Player Data'!Q11)&gt;='Model Settings'!$E$44)*'Model Settings'!$F$44)/('Model Settings'!$F$39+'Model Settings'!$F$40+'Model Settings'!$F$41+'Model Settings'!$F$42+'Model Settings'!$F$43+'Model Settings'!$F$44),0)</f>
        <v>0</v>
      </c>
      <c r="G11" s="50" t="n">
        <f aca="false">ROUND(100*((N('Player Data'!BE11)&gt;='Model Settings'!$E$45)*'Model Settings'!$F$45+(N('Player Data'!BH11)&gt;='Model Settings'!$E$46)*'Model Settings'!$F$46+(N('Player Data'!U11)&gt;='Model Settings'!$E$47)*'Model Settings'!$F$47+(N('Player Data'!BN11)&gt;='Model Settings'!$E$48)*'Model Settings'!$F$48+(N('Player Data'!AX11)&gt;='Model Settings'!$E$49)*'Model Settings'!$F$49+(N('Player Data'!BL11)&gt;='Model Settings'!$E$50)*'Model Settings'!$F$50+(N('Player Data'!BI11)&gt;='Model Settings'!$E$51)*'Model Settings'!$F$51)/('Model Settings'!$F$45+'Model Settings'!$F$46+'Model Settings'!$F$47+'Model Settings'!$F$48+'Model Settings'!$F$49+'Model Settings'!$F$50+'Model Settings'!$F$51),0)</f>
        <v>0</v>
      </c>
      <c r="H11" s="34" t="str">
        <f aca="false">IF(AND(B11&lt;'Model Settings'!$E$66,E11&lt;'Model Settings'!$E$68),"Non-problem",IF(E11&gt;='Model Settings'!$E$68,"Financially vulnerable",IF(OR(N('Player Data'!BY11)&gt;=1,N('Player Data'!BX11)&gt;=2,N('Player Data'!BW11)&gt;=3),"Emotionally vulnerable","At-risk")))</f>
        <v>Non-problem</v>
      </c>
      <c r="I11" s="34" t="str">
        <f aca="false">IF(OR(N('Player Data'!BY11)&gt;=1,'Player Data'!BZ11="Yes"),"Alert","None")</f>
        <v>None</v>
      </c>
      <c r="J11" s="34" t="str">
        <f aca="false">IF(OR(B11&gt;='Model Settings'!$E$67,'Player Data'!BM11="Yes",I11="Alert"),"Suppress",IF(AND(B11&gt;='Model Settings'!$E$66,'Player Data'!G11="Yes"),"Review VIP","Allow"))</f>
        <v>Allow</v>
      </c>
      <c r="K11" s="50" t="n">
        <f aca="false">ROUND(100*((N('Player Data'!CH11)&gt;='Model Settings'!$E$52)*'Model Settings'!$F$52+(N('Player Data'!CI11)&gt;='Model Settings'!$E$53)*'Model Settings'!$F$53+(N('Player Data'!R11)&gt;='Model Settings'!$E$54)*'Model Settings'!$F$54+(N('Player Data'!Y11)&gt;='Model Settings'!$E$55)*'Model Settings'!$F$55+(N('Player Data'!AS11)&gt;='Model Settings'!$E$56)*'Model Settings'!$F$56)/('Model Settings'!$F$52+'Model Settings'!$F$53+'Model Settings'!$F$54+'Model Settings'!$F$55+'Model Settings'!$F$56),0)</f>
        <v>40</v>
      </c>
      <c r="L11" s="34" t="str">
        <f aca="false">IF('Player Data'!D11="Spain",ROUND(100*((N('Player Data'!H11)&gt;='Model Settings'!$E$57)*'Model Settings'!$F$57+(N('Player Data'!AI11)&gt;='Model Settings'!$E$58)*'Model Settings'!$F$58+(N('Player Data'!AL11)&gt;='Model Settings'!$E$59)*'Model Settings'!$F$59+(N('Player Data'!M11)&gt;='Model Settings'!$E$60)*'Model Settings'!$F$60+(N('Player Data'!X11)&lt;='Model Settings'!$E$61)*'Model Settings'!$F$61+(N('Player Data'!Y11)&gt;='Model Settings'!$E$62)*'Model Settings'!$F$62+(N('Player Data'!P11)&gt;='Model Settings'!$E$63)*'Model Settings'!$F$63)/('Model Settings'!$F$57+'Model Settings'!$F$58+'Model Settings'!$F$59+'Model Settings'!$F$60+'Model Settings'!$F$61+'Model Settings'!$F$62+'Model Settings'!$F$63),0),"n/a")</f>
        <v>n/a</v>
      </c>
      <c r="M11" s="34" t="str">
        <f aca="false">IF('Player Data'!CA11="None","No contact yet",IF('Player Data'!CA11="Improved","Working",IF('Player Data'!CA11="No change","Review approach","Escalate")))</f>
        <v>No contact yet</v>
      </c>
      <c r="N11" s="49" t="str">
        <f aca="false">IF(OR('Player Data'!BM11="Yes",I11="Alert"),"High",IF(B11&gt;='Model Settings'!$E$67,"High",IF(OR(B11&gt;='Model Settings'!$E$66,D11&gt;='Model Settings'!$E$68,F11&gt;='Model Settings'!$E$68,K11&gt;='Model Settings'!$E$68),"Medium","Low")))</f>
        <v>Low</v>
      </c>
      <c r="O11" s="34" t="str">
        <f aca="false">IF(N11="High","Contact player + review within 48h; stop marketing",IF(N11="Medium","Safer gambling message; monitor weekly","No action; routine monitoring"))</f>
        <v>No action; routine monitoring</v>
      </c>
      <c r="P11" s="34" t="n">
        <f aca="false">IF(OR(N11="High",AND('Model Settings'!$E$70="High+Medium",N11="Medium")),1,0)</f>
        <v>0</v>
      </c>
      <c r="Q11" s="34" t="n">
        <f aca="false">'Player Data'!CM11</f>
        <v>0</v>
      </c>
    </row>
    <row r="12" customFormat="false" ht="15" hidden="false" customHeight="false" outlineLevel="0" collapsed="false">
      <c r="A12" s="49" t="str">
        <f aca="false">'Player Data'!A12</f>
        <v>P007</v>
      </c>
      <c r="B12" s="50" t="n">
        <f aca="false">ROUND(100*((N('Player Data'!U12)&gt;='Model Settings'!$E$5)*'Model Settings'!$F$5+(N('Player Data'!AT12)&gt;='Model Settings'!$E$6)*'Model Settings'!$F$6+(N('Player Data'!BI12)&gt;='Model Settings'!$E$7)*'Model Settings'!$F$7+(N('Player Data'!AL12)&gt;='Model Settings'!$E$8)*'Model Settings'!$F$8+(N('Player Data'!AH12)&gt;='Model Settings'!$E$9)*'Model Settings'!$F$9+(N('Player Data'!B12)&lt;='Model Settings'!$E$10)*'Model Settings'!$F$10+(N('Player Data'!M12)&gt;='Model Settings'!$E$11)*'Model Settings'!$F$11+(N('Player Data'!J12)&lt;='Model Settings'!$E$12)*'Model Settings'!$F$12+(N('Player Data'!V12)&gt;='Model Settings'!$E$13)*'Model Settings'!$F$13+(N('Player Data'!W12)&gt;='Model Settings'!$E$14)*'Model Settings'!$F$14+(N('Player Data'!AE12)&gt;='Model Settings'!$E$15)*'Model Settings'!$F$15+(N('Player Data'!BF12)&gt;='Model Settings'!$E$16)*'Model Settings'!$F$16+(N('Player Data'!AX12)&gt;='Model Settings'!$E$17)*'Model Settings'!$F$17+(N('Player Data'!AP12)&gt;='Model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30</v>
      </c>
      <c r="C12" s="34" t="str">
        <f aca="false">IF('Player Data'!E12&lt;='Model Settings'!$E$69,ROUND(100*((N('Player Data'!H12)&gt;='Model Settings'!$E$19)*'Model Settings'!$F$19+(N('Player Data'!S12)&gt;='Model Settings'!$E$20)*'Model Settings'!$F$20+(N('Player Data'!AH12)&gt;='Model Settings'!$E$21)*'Model Settings'!$F$21+(N('Player Data'!AX12)&gt;='Model Settings'!$E$22)*'Model Settings'!$F$22+(N('Player Data'!Y12)&gt;='Model Settings'!$E$23)*'Model Settings'!$F$23+(N('Player Data'!AM12)&gt;='Model Settings'!$E$24)*'Model Settings'!$F$24)/('Model Settings'!$F$19+'Model Settings'!$F$20+'Model Settings'!$F$21+'Model Settings'!$F$22+'Model Settings'!$F$23+'Model Settings'!$F$24),0),"n/a")</f>
        <v>n/a</v>
      </c>
      <c r="D12" s="50" t="n">
        <f aca="false">ROUND(100*((N('Player Data'!U12)&gt;='Model Settings'!$E$25)*'Model Settings'!$F$25+(N('Player Data'!V12)&gt;='Model Settings'!$E$26)*'Model Settings'!$F$26+(N('Player Data'!W12)&gt;='Model Settings'!$E$27)*'Model Settings'!$F$27+(N('Player Data'!AT12)&gt;='Model Settings'!$E$28)*'Model Settings'!$F$28+(N('Player Data'!AE12)&gt;='Model Settings'!$E$29)*'Model Settings'!$F$29+(N('Player Data'!AO12)&gt;='Model Settings'!$E$30)*'Model Settings'!$F$30+(N('Player Data'!AG12)&gt;='Model Settings'!$E$31)*'Model Settings'!$F$31)/('Model Settings'!$F$25+'Model Settings'!$F$26+'Model Settings'!$F$27+'Model Settings'!$F$28+'Model Settings'!$F$29+'Model Settings'!$F$30+'Model Settings'!$F$31),0)</f>
        <v>43</v>
      </c>
      <c r="E12" s="50" t="n">
        <f aca="false">ROUND(100*((N('Player Data'!Z12)&gt;='Model Settings'!$E$32)*'Model Settings'!$F$32+(N('Player Data'!BN12)&gt;='Model Settings'!$E$33)*'Model Settings'!$F$33+(N('Player Data'!BO12)&gt;='Model Settings'!$E$34)*'Model Settings'!$F$34+(N('Player Data'!BP12)&gt;='Model Settings'!$E$35)*'Model Settings'!$F$35+('Player Data'!BR12='Model Settings'!$E$36)*'Model Settings'!$F$36+(N('Player Data'!AW12)&gt;='Model Settings'!$E$37)*'Model Settings'!$F$37+(N('Player Data'!AF12)&lt;='Model Settings'!$E$38)*'Model Settings'!$F$38)/('Model Settings'!$F$32+'Model Settings'!$F$33+'Model Settings'!$F$34+'Model Settings'!$F$35+'Model Settings'!$F$36+'Model Settings'!$F$37+'Model Settings'!$F$38),0)</f>
        <v>14</v>
      </c>
      <c r="F12" s="50" t="n">
        <f aca="false">ROUND(100*((N('Player Data'!K12)&gt;='Model Settings'!$E$39)*'Model Settings'!$F$39+(N('Player Data'!P12)&gt;='Model Settings'!$E$40)*'Model Settings'!$F$40+(N('Player Data'!M12)&gt;='Model Settings'!$E$41)*'Model Settings'!$F$41+(N('Player Data'!AU12)&gt;='Model Settings'!$E$42)*'Model Settings'!$F$42+(N('Player Data'!CL12)&gt;='Model Settings'!$E$43)*'Model Settings'!$F$43+(N('Player Data'!Q12)&gt;='Model Settings'!$E$44)*'Model Settings'!$F$44)/('Model Settings'!$F$39+'Model Settings'!$F$40+'Model Settings'!$F$41+'Model Settings'!$F$42+'Model Settings'!$F$43+'Model Settings'!$F$44),0)</f>
        <v>17</v>
      </c>
      <c r="G12" s="50" t="n">
        <f aca="false">ROUND(100*((N('Player Data'!BE12)&gt;='Model Settings'!$E$45)*'Model Settings'!$F$45+(N('Player Data'!BH12)&gt;='Model Settings'!$E$46)*'Model Settings'!$F$46+(N('Player Data'!U12)&gt;='Model Settings'!$E$47)*'Model Settings'!$F$47+(N('Player Data'!BN12)&gt;='Model Settings'!$E$48)*'Model Settings'!$F$48+(N('Player Data'!AX12)&gt;='Model Settings'!$E$49)*'Model Settings'!$F$49+(N('Player Data'!BL12)&gt;='Model Settings'!$E$50)*'Model Settings'!$F$50+(N('Player Data'!BI12)&gt;='Model Settings'!$E$51)*'Model Settings'!$F$51)/('Model Settings'!$F$45+'Model Settings'!$F$46+'Model Settings'!$F$47+'Model Settings'!$F$48+'Model Settings'!$F$49+'Model Settings'!$F$50+'Model Settings'!$F$51),0)</f>
        <v>29</v>
      </c>
      <c r="H12" s="34" t="str">
        <f aca="false">IF(AND(B12&lt;'Model Settings'!$E$66,E12&lt;'Model Settings'!$E$68),"Non-problem",IF(E12&gt;='Model Settings'!$E$68,"Financially vulnerable",IF(OR(N('Player Data'!BY12)&gt;=1,N('Player Data'!BX12)&gt;=2,N('Player Data'!BW12)&gt;=3),"Emotionally vulnerable","At-risk")))</f>
        <v>At-risk</v>
      </c>
      <c r="I12" s="34" t="str">
        <f aca="false">IF(OR(N('Player Data'!BY12)&gt;=1,'Player Data'!BZ12="Yes"),"Alert","None")</f>
        <v>None</v>
      </c>
      <c r="J12" s="34" t="str">
        <f aca="false">IF(OR(B12&gt;='Model Settings'!$E$67,'Player Data'!BM12="Yes",I12="Alert"),"Suppress",IF(AND(B12&gt;='Model Settings'!$E$66,'Player Data'!G12="Yes"),"Review VIP","Allow"))</f>
        <v>Allow</v>
      </c>
      <c r="K12" s="50" t="n">
        <f aca="false">ROUND(100*((N('Player Data'!CH12)&gt;='Model Settings'!$E$52)*'Model Settings'!$F$52+(N('Player Data'!CI12)&gt;='Model Settings'!$E$53)*'Model Settings'!$F$53+(N('Player Data'!R12)&gt;='Model Settings'!$E$54)*'Model Settings'!$F$54+(N('Player Data'!Y12)&gt;='Model Settings'!$E$55)*'Model Settings'!$F$55+(N('Player Data'!AS12)&gt;='Model Settings'!$E$56)*'Model Settings'!$F$56)/('Model Settings'!$F$52+'Model Settings'!$F$53+'Model Settings'!$F$54+'Model Settings'!$F$55+'Model Settings'!$F$56),0)</f>
        <v>0</v>
      </c>
      <c r="L12" s="34" t="str">
        <f aca="false">IF('Player Data'!D12="Spain",ROUND(100*((N('Player Data'!H12)&gt;='Model Settings'!$E$57)*'Model Settings'!$F$57+(N('Player Data'!AI12)&gt;='Model Settings'!$E$58)*'Model Settings'!$F$58+(N('Player Data'!AL12)&gt;='Model Settings'!$E$59)*'Model Settings'!$F$59+(N('Player Data'!M12)&gt;='Model Settings'!$E$60)*'Model Settings'!$F$60+(N('Player Data'!X12)&lt;='Model Settings'!$E$61)*'Model Settings'!$F$61+(N('Player Data'!Y12)&gt;='Model Settings'!$E$62)*'Model Settings'!$F$62+(N('Player Data'!P12)&gt;='Model Settings'!$E$63)*'Model Settings'!$F$63)/('Model Settings'!$F$57+'Model Settings'!$F$58+'Model Settings'!$F$59+'Model Settings'!$F$60+'Model Settings'!$F$61+'Model Settings'!$F$62+'Model Settings'!$F$63),0),"n/a")</f>
        <v>n/a</v>
      </c>
      <c r="M12" s="34" t="str">
        <f aca="false">IF('Player Data'!CA12="None","No contact yet",IF('Player Data'!CA12="Improved","Working",IF('Player Data'!CA12="No change","Review approach","Escalate")))</f>
        <v>No contact yet</v>
      </c>
      <c r="N12" s="49" t="str">
        <f aca="false">IF(OR('Player Data'!BM12="Yes",I12="Alert"),"High",IF(B12&gt;='Model Settings'!$E$67,"High",IF(OR(B12&gt;='Model Settings'!$E$66,D12&gt;='Model Settings'!$E$68,F12&gt;='Model Settings'!$E$68,K12&gt;='Model Settings'!$E$68),"Medium","Low")))</f>
        <v>Medium</v>
      </c>
      <c r="O12" s="34" t="str">
        <f aca="false">IF(N12="High","Contact player + review within 48h; stop marketing",IF(N12="Medium","Safer gambling message; monitor weekly","No action; routine monitoring"))</f>
        <v>Safer gambling message; monitor weekly</v>
      </c>
      <c r="P12" s="34" t="n">
        <f aca="false">IF(OR(N12="High",AND('Model Settings'!$E$70="High+Medium",N12="Medium")),1,0)</f>
        <v>0</v>
      </c>
      <c r="Q12" s="34" t="n">
        <f aca="false">'Player Data'!CM12</f>
        <v>0</v>
      </c>
    </row>
    <row r="13" customFormat="false" ht="15" hidden="false" customHeight="false" outlineLevel="0" collapsed="false">
      <c r="A13" s="49" t="str">
        <f aca="false">'Player Data'!A13</f>
        <v>P008</v>
      </c>
      <c r="B13" s="50" t="n">
        <f aca="false">ROUND(100*((N('Player Data'!U13)&gt;='Model Settings'!$E$5)*'Model Settings'!$F$5+(N('Player Data'!AT13)&gt;='Model Settings'!$E$6)*'Model Settings'!$F$6+(N('Player Data'!BI13)&gt;='Model Settings'!$E$7)*'Model Settings'!$F$7+(N('Player Data'!AL13)&gt;='Model Settings'!$E$8)*'Model Settings'!$F$8+(N('Player Data'!AH13)&gt;='Model Settings'!$E$9)*'Model Settings'!$F$9+(N('Player Data'!B13)&lt;='Model Settings'!$E$10)*'Model Settings'!$F$10+(N('Player Data'!M13)&gt;='Model Settings'!$E$11)*'Model Settings'!$F$11+(N('Player Data'!J13)&lt;='Model Settings'!$E$12)*'Model Settings'!$F$12+(N('Player Data'!V13)&gt;='Model Settings'!$E$13)*'Model Settings'!$F$13+(N('Player Data'!W13)&gt;='Model Settings'!$E$14)*'Model Settings'!$F$14+(N('Player Data'!AE13)&gt;='Model Settings'!$E$15)*'Model Settings'!$F$15+(N('Player Data'!BF13)&gt;='Model Settings'!$E$16)*'Model Settings'!$F$16+(N('Player Data'!AX13)&gt;='Model Settings'!$E$17)*'Model Settings'!$F$17+(N('Player Data'!AP13)&gt;='Model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93</v>
      </c>
      <c r="C13" s="34" t="str">
        <f aca="false">IF('Player Data'!E13&lt;='Model Settings'!$E$69,ROUND(100*((N('Player Data'!H13)&gt;='Model Settings'!$E$19)*'Model Settings'!$F$19+(N('Player Data'!S13)&gt;='Model Settings'!$E$20)*'Model Settings'!$F$20+(N('Player Data'!AH13)&gt;='Model Settings'!$E$21)*'Model Settings'!$F$21+(N('Player Data'!AX13)&gt;='Model Settings'!$E$22)*'Model Settings'!$F$22+(N('Player Data'!Y13)&gt;='Model Settings'!$E$23)*'Model Settings'!$F$23+(N('Player Data'!AM13)&gt;='Model Settings'!$E$24)*'Model Settings'!$F$24)/('Model Settings'!$F$19+'Model Settings'!$F$20+'Model Settings'!$F$21+'Model Settings'!$F$22+'Model Settings'!$F$23+'Model Settings'!$F$24),0),"n/a")</f>
        <v>n/a</v>
      </c>
      <c r="D13" s="50" t="n">
        <f aca="false">ROUND(100*((N('Player Data'!U13)&gt;='Model Settings'!$E$25)*'Model Settings'!$F$25+(N('Player Data'!V13)&gt;='Model Settings'!$E$26)*'Model Settings'!$F$26+(N('Player Data'!W13)&gt;='Model Settings'!$E$27)*'Model Settings'!$F$27+(N('Player Data'!AT13)&gt;='Model Settings'!$E$28)*'Model Settings'!$F$28+(N('Player Data'!AE13)&gt;='Model Settings'!$E$29)*'Model Settings'!$F$29+(N('Player Data'!AO13)&gt;='Model Settings'!$E$30)*'Model Settings'!$F$30+(N('Player Data'!AG13)&gt;='Model Settings'!$E$31)*'Model Settings'!$F$31)/('Model Settings'!$F$25+'Model Settings'!$F$26+'Model Settings'!$F$27+'Model Settings'!$F$28+'Model Settings'!$F$29+'Model Settings'!$F$30+'Model Settings'!$F$31),0)</f>
        <v>86</v>
      </c>
      <c r="E13" s="50" t="n">
        <f aca="false">ROUND(100*((N('Player Data'!Z13)&gt;='Model Settings'!$E$32)*'Model Settings'!$F$32+(N('Player Data'!BN13)&gt;='Model Settings'!$E$33)*'Model Settings'!$F$33+(N('Player Data'!BO13)&gt;='Model Settings'!$E$34)*'Model Settings'!$F$34+(N('Player Data'!BP13)&gt;='Model Settings'!$E$35)*'Model Settings'!$F$35+('Player Data'!BR13='Model Settings'!$E$36)*'Model Settings'!$F$36+(N('Player Data'!AW13)&gt;='Model Settings'!$E$37)*'Model Settings'!$F$37+(N('Player Data'!AF13)&lt;='Model Settings'!$E$38)*'Model Settings'!$F$38)/('Model Settings'!$F$32+'Model Settings'!$F$33+'Model Settings'!$F$34+'Model Settings'!$F$35+'Model Settings'!$F$36+'Model Settings'!$F$37+'Model Settings'!$F$38),0)</f>
        <v>43</v>
      </c>
      <c r="F13" s="50" t="n">
        <f aca="false">ROUND(100*((N('Player Data'!K13)&gt;='Model Settings'!$E$39)*'Model Settings'!$F$39+(N('Player Data'!P13)&gt;='Model Settings'!$E$40)*'Model Settings'!$F$40+(N('Player Data'!M13)&gt;='Model Settings'!$E$41)*'Model Settings'!$F$41+(N('Player Data'!AU13)&gt;='Model Settings'!$E$42)*'Model Settings'!$F$42+(N('Player Data'!CL13)&gt;='Model Settings'!$E$43)*'Model Settings'!$F$43+(N('Player Data'!Q13)&gt;='Model Settings'!$E$44)*'Model Settings'!$F$44)/('Model Settings'!$F$39+'Model Settings'!$F$40+'Model Settings'!$F$41+'Model Settings'!$F$42+'Model Settings'!$F$43+'Model Settings'!$F$44),0)</f>
        <v>67</v>
      </c>
      <c r="G13" s="50" t="n">
        <f aca="false">ROUND(100*((N('Player Data'!BE13)&gt;='Model Settings'!$E$45)*'Model Settings'!$F$45+(N('Player Data'!BH13)&gt;='Model Settings'!$E$46)*'Model Settings'!$F$46+(N('Player Data'!U13)&gt;='Model Settings'!$E$47)*'Model Settings'!$F$47+(N('Player Data'!BN13)&gt;='Model Settings'!$E$48)*'Model Settings'!$F$48+(N('Player Data'!AX13)&gt;='Model Settings'!$E$49)*'Model Settings'!$F$49+(N('Player Data'!BL13)&gt;='Model Settings'!$E$50)*'Model Settings'!$F$50+(N('Player Data'!BI13)&gt;='Model Settings'!$E$51)*'Model Settings'!$F$51)/('Model Settings'!$F$45+'Model Settings'!$F$46+'Model Settings'!$F$47+'Model Settings'!$F$48+'Model Settings'!$F$49+'Model Settings'!$F$50+'Model Settings'!$F$51),0)</f>
        <v>86</v>
      </c>
      <c r="H13" s="34" t="str">
        <f aca="false">IF(AND(B13&lt;'Model Settings'!$E$66,E13&lt;'Model Settings'!$E$68),"Non-problem",IF(E13&gt;='Model Settings'!$E$68,"Financially vulnerable",IF(OR(N('Player Data'!BY13)&gt;=1,N('Player Data'!BX13)&gt;=2,N('Player Data'!BW13)&gt;=3),"Emotionally vulnerable","At-risk")))</f>
        <v>Emotionally vulnerable</v>
      </c>
      <c r="I13" s="34" t="str">
        <f aca="false">IF(OR(N('Player Data'!BY13)&gt;=1,'Player Data'!BZ13="Yes"),"Alert","None")</f>
        <v>Alert</v>
      </c>
      <c r="J13" s="34" t="str">
        <f aca="false">IF(OR(B13&gt;='Model Settings'!$E$67,'Player Data'!BM13="Yes",I13="Alert"),"Suppress",IF(AND(B13&gt;='Model Settings'!$E$66,'Player Data'!G13="Yes"),"Review VIP","Allow"))</f>
        <v>Suppress</v>
      </c>
      <c r="K13" s="50" t="n">
        <f aca="false">ROUND(100*((N('Player Data'!CH13)&gt;='Model Settings'!$E$52)*'Model Settings'!$F$52+(N('Player Data'!CI13)&gt;='Model Settings'!$E$53)*'Model Settings'!$F$53+(N('Player Data'!R13)&gt;='Model Settings'!$E$54)*'Model Settings'!$F$54+(N('Player Data'!Y13)&gt;='Model Settings'!$E$55)*'Model Settings'!$F$55+(N('Player Data'!AS13)&gt;='Model Settings'!$E$56)*'Model Settings'!$F$56)/('Model Settings'!$F$52+'Model Settings'!$F$53+'Model Settings'!$F$54+'Model Settings'!$F$55+'Model Settings'!$F$56),0)</f>
        <v>40</v>
      </c>
      <c r="L13" s="34" t="n">
        <f aca="false">IF('Player Data'!D13="Spain",ROUND(100*((N('Player Data'!H13)&gt;='Model Settings'!$E$57)*'Model Settings'!$F$57+(N('Player Data'!AI13)&gt;='Model Settings'!$E$58)*'Model Settings'!$F$58+(N('Player Data'!AL13)&gt;='Model Settings'!$E$59)*'Model Settings'!$F$59+(N('Player Data'!M13)&gt;='Model Settings'!$E$60)*'Model Settings'!$F$60+(N('Player Data'!X13)&lt;='Model Settings'!$E$61)*'Model Settings'!$F$61+(N('Player Data'!Y13)&gt;='Model Settings'!$E$62)*'Model Settings'!$F$62+(N('Player Data'!P13)&gt;='Model Settings'!$E$63)*'Model Settings'!$F$63)/('Model Settings'!$F$57+'Model Settings'!$F$58+'Model Settings'!$F$59+'Model Settings'!$F$60+'Model Settings'!$F$61+'Model Settings'!$F$62+'Model Settings'!$F$63),0),"n/a")</f>
        <v>71</v>
      </c>
      <c r="M13" s="34" t="str">
        <f aca="false">IF('Player Data'!CA13="None","No contact yet",IF('Player Data'!CA13="Improved","Working",IF('Player Data'!CA13="No change","Review approach","Escalate")))</f>
        <v>Working</v>
      </c>
      <c r="N13" s="49" t="str">
        <f aca="false">IF(OR('Player Data'!BM13="Yes",I13="Alert"),"High",IF(B13&gt;='Model Settings'!$E$67,"High",IF(OR(B13&gt;='Model Settings'!$E$66,D13&gt;='Model Settings'!$E$68,F13&gt;='Model Settings'!$E$68,K13&gt;='Model Settings'!$E$68),"Medium","Low")))</f>
        <v>High</v>
      </c>
      <c r="O13" s="34" t="str">
        <f aca="false">IF(N13="High","Contact player + review within 48h; stop marketing",IF(N13="Medium","Safer gambling message; monitor weekly","No action; routine monitoring"))</f>
        <v>Contact player + review within 48h; stop marketing</v>
      </c>
      <c r="P13" s="34" t="n">
        <f aca="false">IF(OR(N13="High",AND('Model Settings'!$E$70="High+Medium",N13="Medium")),1,0)</f>
        <v>1</v>
      </c>
      <c r="Q13" s="34" t="n">
        <f aca="false">'Player Data'!CM13</f>
        <v>1</v>
      </c>
    </row>
    <row r="14" customFormat="false" ht="15" hidden="false" customHeight="false" outlineLevel="0" collapsed="false">
      <c r="A14" s="49" t="str">
        <f aca="false">'Player Data'!A14</f>
        <v>P009</v>
      </c>
      <c r="B14" s="50" t="n">
        <f aca="false">ROUND(100*((N('Player Data'!U14)&gt;='Model Settings'!$E$5)*'Model Settings'!$F$5+(N('Player Data'!AT14)&gt;='Model Settings'!$E$6)*'Model Settings'!$F$6+(N('Player Data'!BI14)&gt;='Model Settings'!$E$7)*'Model Settings'!$F$7+(N('Player Data'!AL14)&gt;='Model Settings'!$E$8)*'Model Settings'!$F$8+(N('Player Data'!AH14)&gt;='Model Settings'!$E$9)*'Model Settings'!$F$9+(N('Player Data'!B14)&lt;='Model Settings'!$E$10)*'Model Settings'!$F$10+(N('Player Data'!M14)&gt;='Model Settings'!$E$11)*'Model Settings'!$F$11+(N('Player Data'!J14)&lt;='Model Settings'!$E$12)*'Model Settings'!$F$12+(N('Player Data'!V14)&gt;='Model Settings'!$E$13)*'Model Settings'!$F$13+(N('Player Data'!W14)&gt;='Model Settings'!$E$14)*'Model Settings'!$F$14+(N('Player Data'!AE14)&gt;='Model Settings'!$E$15)*'Model Settings'!$F$15+(N('Player Data'!BF14)&gt;='Model Settings'!$E$16)*'Model Settings'!$F$16+(N('Player Data'!AX14)&gt;='Model Settings'!$E$17)*'Model Settings'!$F$17+(N('Player Data'!AP14)&gt;='Model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4" s="34" t="str">
        <f aca="false">IF('Player Data'!E14&lt;='Model Settings'!$E$69,ROUND(100*((N('Player Data'!H14)&gt;='Model Settings'!$E$19)*'Model Settings'!$F$19+(N('Player Data'!S14)&gt;='Model Settings'!$E$20)*'Model Settings'!$F$20+(N('Player Data'!AH14)&gt;='Model Settings'!$E$21)*'Model Settings'!$F$21+(N('Player Data'!AX14)&gt;='Model Settings'!$E$22)*'Model Settings'!$F$22+(N('Player Data'!Y14)&gt;='Model Settings'!$E$23)*'Model Settings'!$F$23+(N('Player Data'!AM14)&gt;='Model Settings'!$E$24)*'Model Settings'!$F$24)/('Model Settings'!$F$19+'Model Settings'!$F$20+'Model Settings'!$F$21+'Model Settings'!$F$22+'Model Settings'!$F$23+'Model Settings'!$F$24),0),"n/a")</f>
        <v>n/a</v>
      </c>
      <c r="D14" s="50" t="n">
        <f aca="false">ROUND(100*((N('Player Data'!U14)&gt;='Model Settings'!$E$25)*'Model Settings'!$F$25+(N('Player Data'!V14)&gt;='Model Settings'!$E$26)*'Model Settings'!$F$26+(N('Player Data'!W14)&gt;='Model Settings'!$E$27)*'Model Settings'!$F$27+(N('Player Data'!AT14)&gt;='Model Settings'!$E$28)*'Model Settings'!$F$28+(N('Player Data'!AE14)&gt;='Model Settings'!$E$29)*'Model Settings'!$F$29+(N('Player Data'!AO14)&gt;='Model Settings'!$E$30)*'Model Settings'!$F$30+(N('Player Data'!AG14)&gt;='Model Settings'!$E$31)*'Model Settings'!$F$31)/('Model Settings'!$F$25+'Model Settings'!$F$26+'Model Settings'!$F$27+'Model Settings'!$F$28+'Model Settings'!$F$29+'Model Settings'!$F$30+'Model Settings'!$F$31),0)</f>
        <v>14</v>
      </c>
      <c r="E14" s="50" t="n">
        <f aca="false">ROUND(100*((N('Player Data'!Z14)&gt;='Model Settings'!$E$32)*'Model Settings'!$F$32+(N('Player Data'!BN14)&gt;='Model Settings'!$E$33)*'Model Settings'!$F$33+(N('Player Data'!BO14)&gt;='Model Settings'!$E$34)*'Model Settings'!$F$34+(N('Player Data'!BP14)&gt;='Model Settings'!$E$35)*'Model Settings'!$F$35+('Player Data'!BR14='Model Settings'!$E$36)*'Model Settings'!$F$36+(N('Player Data'!AW14)&gt;='Model Settings'!$E$37)*'Model Settings'!$F$37+(N('Player Data'!AF14)&lt;='Model Settings'!$E$38)*'Model Settings'!$F$38)/('Model Settings'!$F$32+'Model Settings'!$F$33+'Model Settings'!$F$34+'Model Settings'!$F$35+'Model Settings'!$F$36+'Model Settings'!$F$37+'Model Settings'!$F$38),0)</f>
        <v>0</v>
      </c>
      <c r="F14" s="50" t="n">
        <f aca="false">ROUND(100*((N('Player Data'!K14)&gt;='Model Settings'!$E$39)*'Model Settings'!$F$39+(N('Player Data'!P14)&gt;='Model Settings'!$E$40)*'Model Settings'!$F$40+(N('Player Data'!M14)&gt;='Model Settings'!$E$41)*'Model Settings'!$F$41+(N('Player Data'!AU14)&gt;='Model Settings'!$E$42)*'Model Settings'!$F$42+(N('Player Data'!CL14)&gt;='Model Settings'!$E$43)*'Model Settings'!$F$43+(N('Player Data'!Q14)&gt;='Model Settings'!$E$44)*'Model Settings'!$F$44)/('Model Settings'!$F$39+'Model Settings'!$F$40+'Model Settings'!$F$41+'Model Settings'!$F$42+'Model Settings'!$F$43+'Model Settings'!$F$44),0)</f>
        <v>17</v>
      </c>
      <c r="G14" s="50" t="n">
        <f aca="false">ROUND(100*((N('Player Data'!BE14)&gt;='Model Settings'!$E$45)*'Model Settings'!$F$45+(N('Player Data'!BH14)&gt;='Model Settings'!$E$46)*'Model Settings'!$F$46+(N('Player Data'!U14)&gt;='Model Settings'!$E$47)*'Model Settings'!$F$47+(N('Player Data'!BN14)&gt;='Model Settings'!$E$48)*'Model Settings'!$F$48+(N('Player Data'!AX14)&gt;='Model Settings'!$E$49)*'Model Settings'!$F$49+(N('Player Data'!BL14)&gt;='Model Settings'!$E$50)*'Model Settings'!$F$50+(N('Player Data'!BI14)&gt;='Model Settings'!$E$51)*'Model Settings'!$F$51)/('Model Settings'!$F$45+'Model Settings'!$F$46+'Model Settings'!$F$47+'Model Settings'!$F$48+'Model Settings'!$F$49+'Model Settings'!$F$50+'Model Settings'!$F$51),0)</f>
        <v>0</v>
      </c>
      <c r="H14" s="34" t="str">
        <f aca="false">IF(AND(B14&lt;'Model Settings'!$E$66,E14&lt;'Model Settings'!$E$68),"Non-problem",IF(E14&gt;='Model Settings'!$E$68,"Financially vulnerable",IF(OR(N('Player Data'!BY14)&gt;=1,N('Player Data'!BX14)&gt;=2,N('Player Data'!BW14)&gt;=3),"Emotionally vulnerable","At-risk")))</f>
        <v>Non-problem</v>
      </c>
      <c r="I14" s="34" t="str">
        <f aca="false">IF(OR(N('Player Data'!BY14)&gt;=1,'Player Data'!BZ14="Yes"),"Alert","None")</f>
        <v>None</v>
      </c>
      <c r="J14" s="34" t="str">
        <f aca="false">IF(OR(B14&gt;='Model Settings'!$E$67,'Player Data'!BM14="Yes",I14="Alert"),"Suppress",IF(AND(B14&gt;='Model Settings'!$E$66,'Player Data'!G14="Yes"),"Review VIP","Allow"))</f>
        <v>Allow</v>
      </c>
      <c r="K14" s="50" t="n">
        <f aca="false">ROUND(100*((N('Player Data'!CH14)&gt;='Model Settings'!$E$52)*'Model Settings'!$F$52+(N('Player Data'!CI14)&gt;='Model Settings'!$E$53)*'Model Settings'!$F$53+(N('Player Data'!R14)&gt;='Model Settings'!$E$54)*'Model Settings'!$F$54+(N('Player Data'!Y14)&gt;='Model Settings'!$E$55)*'Model Settings'!$F$55+(N('Player Data'!AS14)&gt;='Model Settings'!$E$56)*'Model Settings'!$F$56)/('Model Settings'!$F$52+'Model Settings'!$F$53+'Model Settings'!$F$54+'Model Settings'!$F$55+'Model Settings'!$F$56),0)</f>
        <v>0</v>
      </c>
      <c r="L14" s="34" t="n">
        <f aca="false">IF('Player Data'!D14="Spain",ROUND(100*((N('Player Data'!H14)&gt;='Model Settings'!$E$57)*'Model Settings'!$F$57+(N('Player Data'!AI14)&gt;='Model Settings'!$E$58)*'Model Settings'!$F$58+(N('Player Data'!AL14)&gt;='Model Settings'!$E$59)*'Model Settings'!$F$59+(N('Player Data'!M14)&gt;='Model Settings'!$E$60)*'Model Settings'!$F$60+(N('Player Data'!X14)&lt;='Model Settings'!$E$61)*'Model Settings'!$F$61+(N('Player Data'!Y14)&gt;='Model Settings'!$E$62)*'Model Settings'!$F$62+(N('Player Data'!P14)&gt;='Model Settings'!$E$63)*'Model Settings'!$F$63)/('Model Settings'!$F$57+'Model Settings'!$F$58+'Model Settings'!$F$59+'Model Settings'!$F$60+'Model Settings'!$F$61+'Model Settings'!$F$62+'Model Settings'!$F$63),0),"n/a")</f>
        <v>14</v>
      </c>
      <c r="M14" s="34" t="str">
        <f aca="false">IF('Player Data'!CA14="None","No contact yet",IF('Player Data'!CA14="Improved","Working",IF('Player Data'!CA14="No change","Review approach","Escalate")))</f>
        <v>No contact yet</v>
      </c>
      <c r="N14" s="49" t="str">
        <f aca="false">IF(OR('Player Data'!BM14="Yes",I14="Alert"),"High",IF(B14&gt;='Model Settings'!$E$67,"High",IF(OR(B14&gt;='Model Settings'!$E$66,D14&gt;='Model Settings'!$E$68,F14&gt;='Model Settings'!$E$68,K14&gt;='Model Settings'!$E$68),"Medium","Low")))</f>
        <v>Low</v>
      </c>
      <c r="O14" s="34" t="str">
        <f aca="false">IF(N14="High","Contact player + review within 48h; stop marketing",IF(N14="Medium","Safer gambling message; monitor weekly","No action; routine monitoring"))</f>
        <v>No action; routine monitoring</v>
      </c>
      <c r="P14" s="34" t="n">
        <f aca="false">IF(OR(N14="High",AND('Model Settings'!$E$70="High+Medium",N14="Medium")),1,0)</f>
        <v>0</v>
      </c>
      <c r="Q14" s="34" t="n">
        <f aca="false">'Player Data'!CM14</f>
        <v>0</v>
      </c>
    </row>
    <row r="15" customFormat="false" ht="15" hidden="false" customHeight="false" outlineLevel="0" collapsed="false">
      <c r="A15" s="49" t="str">
        <f aca="false">'Player Data'!A15</f>
        <v>P010</v>
      </c>
      <c r="B15" s="50" t="n">
        <f aca="false">ROUND(100*((N('Player Data'!U15)&gt;='Model Settings'!$E$5)*'Model Settings'!$F$5+(N('Player Data'!AT15)&gt;='Model Settings'!$E$6)*'Model Settings'!$F$6+(N('Player Data'!BI15)&gt;='Model Settings'!$E$7)*'Model Settings'!$F$7+(N('Player Data'!AL15)&gt;='Model Settings'!$E$8)*'Model Settings'!$F$8+(N('Player Data'!AH15)&gt;='Model Settings'!$E$9)*'Model Settings'!$F$9+(N('Player Data'!B15)&lt;='Model Settings'!$E$10)*'Model Settings'!$F$10+(N('Player Data'!M15)&gt;='Model Settings'!$E$11)*'Model Settings'!$F$11+(N('Player Data'!J15)&lt;='Model Settings'!$E$12)*'Model Settings'!$F$12+(N('Player Data'!V15)&gt;='Model Settings'!$E$13)*'Model Settings'!$F$13+(N('Player Data'!W15)&gt;='Model Settings'!$E$14)*'Model Settings'!$F$14+(N('Player Data'!AE15)&gt;='Model Settings'!$E$15)*'Model Settings'!$F$15+(N('Player Data'!BF15)&gt;='Model Settings'!$E$16)*'Model Settings'!$F$16+(N('Player Data'!AX15)&gt;='Model Settings'!$E$17)*'Model Settings'!$F$17+(N('Player Data'!AP15)&gt;='Model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5" s="34" t="str">
        <f aca="false">IF('Player Data'!E15&lt;='Model Settings'!$E$69,ROUND(100*((N('Player Data'!H15)&gt;='Model Settings'!$E$19)*'Model Settings'!$F$19+(N('Player Data'!S15)&gt;='Model Settings'!$E$20)*'Model Settings'!$F$20+(N('Player Data'!AH15)&gt;='Model Settings'!$E$21)*'Model Settings'!$F$21+(N('Player Data'!AX15)&gt;='Model Settings'!$E$22)*'Model Settings'!$F$22+(N('Player Data'!Y15)&gt;='Model Settings'!$E$23)*'Model Settings'!$F$23+(N('Player Data'!AM15)&gt;='Model Settings'!$E$24)*'Model Settings'!$F$24)/('Model Settings'!$F$19+'Model Settings'!$F$20+'Model Settings'!$F$21+'Model Settings'!$F$22+'Model Settings'!$F$23+'Model Settings'!$F$24),0),"n/a")</f>
        <v>n/a</v>
      </c>
      <c r="D15" s="50" t="n">
        <f aca="false">ROUND(100*((N('Player Data'!U15)&gt;='Model Settings'!$E$25)*'Model Settings'!$F$25+(N('Player Data'!V15)&gt;='Model Settings'!$E$26)*'Model Settings'!$F$26+(N('Player Data'!W15)&gt;='Model Settings'!$E$27)*'Model Settings'!$F$27+(N('Player Data'!AT15)&gt;='Model Settings'!$E$28)*'Model Settings'!$F$28+(N('Player Data'!AE15)&gt;='Model Settings'!$E$29)*'Model Settings'!$F$29+(N('Player Data'!AO15)&gt;='Model Settings'!$E$30)*'Model Settings'!$F$30+(N('Player Data'!AG15)&gt;='Model Settings'!$E$31)*'Model Settings'!$F$31)/('Model Settings'!$F$25+'Model Settings'!$F$26+'Model Settings'!$F$27+'Model Settings'!$F$28+'Model Settings'!$F$29+'Model Settings'!$F$30+'Model Settings'!$F$31),0)</f>
        <v>0</v>
      </c>
      <c r="E15" s="50" t="n">
        <f aca="false">ROUND(100*((N('Player Data'!Z15)&gt;='Model Settings'!$E$32)*'Model Settings'!$F$32+(N('Player Data'!BN15)&gt;='Model Settings'!$E$33)*'Model Settings'!$F$33+(N('Player Data'!BO15)&gt;='Model Settings'!$E$34)*'Model Settings'!$F$34+(N('Player Data'!BP15)&gt;='Model Settings'!$E$35)*'Model Settings'!$F$35+('Player Data'!BR15='Model Settings'!$E$36)*'Model Settings'!$F$36+(N('Player Data'!AW15)&gt;='Model Settings'!$E$37)*'Model Settings'!$F$37+(N('Player Data'!AF15)&lt;='Model Settings'!$E$38)*'Model Settings'!$F$38)/('Model Settings'!$F$32+'Model Settings'!$F$33+'Model Settings'!$F$34+'Model Settings'!$F$35+'Model Settings'!$F$36+'Model Settings'!$F$37+'Model Settings'!$F$38),0)</f>
        <v>0</v>
      </c>
      <c r="F15" s="50" t="n">
        <f aca="false">ROUND(100*((N('Player Data'!K15)&gt;='Model Settings'!$E$39)*'Model Settings'!$F$39+(N('Player Data'!P15)&gt;='Model Settings'!$E$40)*'Model Settings'!$F$40+(N('Player Data'!M15)&gt;='Model Settings'!$E$41)*'Model Settings'!$F$41+(N('Player Data'!AU15)&gt;='Model Settings'!$E$42)*'Model Settings'!$F$42+(N('Player Data'!CL15)&gt;='Model Settings'!$E$43)*'Model Settings'!$F$43+(N('Player Data'!Q15)&gt;='Model Settings'!$E$44)*'Model Settings'!$F$44)/('Model Settings'!$F$39+'Model Settings'!$F$40+'Model Settings'!$F$41+'Model Settings'!$F$42+'Model Settings'!$F$43+'Model Settings'!$F$44),0)</f>
        <v>0</v>
      </c>
      <c r="G15" s="50" t="n">
        <f aca="false">ROUND(100*((N('Player Data'!BE15)&gt;='Model Settings'!$E$45)*'Model Settings'!$F$45+(N('Player Data'!BH15)&gt;='Model Settings'!$E$46)*'Model Settings'!$F$46+(N('Player Data'!U15)&gt;='Model Settings'!$E$47)*'Model Settings'!$F$47+(N('Player Data'!BN15)&gt;='Model Settings'!$E$48)*'Model Settings'!$F$48+(N('Player Data'!AX15)&gt;='Model Settings'!$E$49)*'Model Settings'!$F$49+(N('Player Data'!BL15)&gt;='Model Settings'!$E$50)*'Model Settings'!$F$50+(N('Player Data'!BI15)&gt;='Model Settings'!$E$51)*'Model Settings'!$F$51)/('Model Settings'!$F$45+'Model Settings'!$F$46+'Model Settings'!$F$47+'Model Settings'!$F$48+'Model Settings'!$F$49+'Model Settings'!$F$50+'Model Settings'!$F$51),0)</f>
        <v>14</v>
      </c>
      <c r="H15" s="34" t="str">
        <f aca="false">IF(AND(B15&lt;'Model Settings'!$E$66,E15&lt;'Model Settings'!$E$68),"Non-problem",IF(E15&gt;='Model Settings'!$E$68,"Financially vulnerable",IF(OR(N('Player Data'!BY15)&gt;=1,N('Player Data'!BX15)&gt;=2,N('Player Data'!BW15)&gt;=3),"Emotionally vulnerable","At-risk")))</f>
        <v>Non-problem</v>
      </c>
      <c r="I15" s="34" t="str">
        <f aca="false">IF(OR(N('Player Data'!BY15)&gt;=1,'Player Data'!BZ15="Yes"),"Alert","None")</f>
        <v>None</v>
      </c>
      <c r="J15" s="34" t="str">
        <f aca="false">IF(OR(B15&gt;='Model Settings'!$E$67,'Player Data'!BM15="Yes",I15="Alert"),"Suppress",IF(AND(B15&gt;='Model Settings'!$E$66,'Player Data'!G15="Yes"),"Review VIP","Allow"))</f>
        <v>Allow</v>
      </c>
      <c r="K15" s="50" t="n">
        <f aca="false">ROUND(100*((N('Player Data'!CH15)&gt;='Model Settings'!$E$52)*'Model Settings'!$F$52+(N('Player Data'!CI15)&gt;='Model Settings'!$E$53)*'Model Settings'!$F$53+(N('Player Data'!R15)&gt;='Model Settings'!$E$54)*'Model Settings'!$F$54+(N('Player Data'!Y15)&gt;='Model Settings'!$E$55)*'Model Settings'!$F$55+(N('Player Data'!AS15)&gt;='Model Settings'!$E$56)*'Model Settings'!$F$56)/('Model Settings'!$F$52+'Model Settings'!$F$53+'Model Settings'!$F$54+'Model Settings'!$F$55+'Model Settings'!$F$56),0)</f>
        <v>0</v>
      </c>
      <c r="L15" s="34" t="n">
        <f aca="false">IF('Player Data'!D15="Spain",ROUND(100*((N('Player Data'!H15)&gt;='Model Settings'!$E$57)*'Model Settings'!$F$57+(N('Player Data'!AI15)&gt;='Model Settings'!$E$58)*'Model Settings'!$F$58+(N('Player Data'!AL15)&gt;='Model Settings'!$E$59)*'Model Settings'!$F$59+(N('Player Data'!M15)&gt;='Model Settings'!$E$60)*'Model Settings'!$F$60+(N('Player Data'!X15)&lt;='Model Settings'!$E$61)*'Model Settings'!$F$61+(N('Player Data'!Y15)&gt;='Model Settings'!$E$62)*'Model Settings'!$F$62+(N('Player Data'!P15)&gt;='Model Settings'!$E$63)*'Model Settings'!$F$63)/('Model Settings'!$F$57+'Model Settings'!$F$58+'Model Settings'!$F$59+'Model Settings'!$F$60+'Model Settings'!$F$61+'Model Settings'!$F$62+'Model Settings'!$F$63),0),"n/a")</f>
        <v>0</v>
      </c>
      <c r="M15" s="34" t="str">
        <f aca="false">IF('Player Data'!CA15="None","No contact yet",IF('Player Data'!CA15="Improved","Working",IF('Player Data'!CA15="No change","Review approach","Escalate")))</f>
        <v>No contact yet</v>
      </c>
      <c r="N15" s="49" t="str">
        <f aca="false">IF(OR('Player Data'!BM15="Yes",I15="Alert"),"High",IF(B15&gt;='Model Settings'!$E$67,"High",IF(OR(B15&gt;='Model Settings'!$E$66,D15&gt;='Model Settings'!$E$68,F15&gt;='Model Settings'!$E$68,K15&gt;='Model Settings'!$E$68),"Medium","Low")))</f>
        <v>Low</v>
      </c>
      <c r="O15" s="34" t="str">
        <f aca="false">IF(N15="High","Contact player + review within 48h; stop marketing",IF(N15="Medium","Safer gambling message; monitor weekly","No action; routine monitoring"))</f>
        <v>No action; routine monitoring</v>
      </c>
      <c r="P15" s="34" t="n">
        <f aca="false">IF(OR(N15="High",AND('Model Settings'!$E$70="High+Medium",N15="Medium")),1,0)</f>
        <v>0</v>
      </c>
      <c r="Q15" s="34" t="n">
        <f aca="false">'Player Data'!CM15</f>
        <v>1</v>
      </c>
    </row>
    <row r="16" customFormat="false" ht="15" hidden="false" customHeight="false" outlineLevel="0" collapsed="false">
      <c r="A16" s="49" t="str">
        <f aca="false">'Player Data'!A16</f>
        <v>P011</v>
      </c>
      <c r="B16" s="50" t="n">
        <f aca="false">ROUND(100*((N('Player Data'!U16)&gt;='Model Settings'!$E$5)*'Model Settings'!$F$5+(N('Player Data'!AT16)&gt;='Model Settings'!$E$6)*'Model Settings'!$F$6+(N('Player Data'!BI16)&gt;='Model Settings'!$E$7)*'Model Settings'!$F$7+(N('Player Data'!AL16)&gt;='Model Settings'!$E$8)*'Model Settings'!$F$8+(N('Player Data'!AH16)&gt;='Model Settings'!$E$9)*'Model Settings'!$F$9+(N('Player Data'!B16)&lt;='Model Settings'!$E$10)*'Model Settings'!$F$10+(N('Player Data'!M16)&gt;='Model Settings'!$E$11)*'Model Settings'!$F$11+(N('Player Data'!J16)&lt;='Model Settings'!$E$12)*'Model Settings'!$F$12+(N('Player Data'!V16)&gt;='Model Settings'!$E$13)*'Model Settings'!$F$13+(N('Player Data'!W16)&gt;='Model Settings'!$E$14)*'Model Settings'!$F$14+(N('Player Data'!AE16)&gt;='Model Settings'!$E$15)*'Model Settings'!$F$15+(N('Player Data'!BF16)&gt;='Model Settings'!$E$16)*'Model Settings'!$F$16+(N('Player Data'!AX16)&gt;='Model Settings'!$E$17)*'Model Settings'!$F$17+(N('Player Data'!AP16)&gt;='Model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19</v>
      </c>
      <c r="C16" s="34" t="str">
        <f aca="false">IF('Player Data'!E16&lt;='Model Settings'!$E$69,ROUND(100*((N('Player Data'!H16)&gt;='Model Settings'!$E$19)*'Model Settings'!$F$19+(N('Player Data'!S16)&gt;='Model Settings'!$E$20)*'Model Settings'!$F$20+(N('Player Data'!AH16)&gt;='Model Settings'!$E$21)*'Model Settings'!$F$21+(N('Player Data'!AX16)&gt;='Model Settings'!$E$22)*'Model Settings'!$F$22+(N('Player Data'!Y16)&gt;='Model Settings'!$E$23)*'Model Settings'!$F$23+(N('Player Data'!AM16)&gt;='Model Settings'!$E$24)*'Model Settings'!$F$24)/('Model Settings'!$F$19+'Model Settings'!$F$20+'Model Settings'!$F$21+'Model Settings'!$F$22+'Model Settings'!$F$23+'Model Settings'!$F$24),0),"n/a")</f>
        <v>n/a</v>
      </c>
      <c r="D16" s="50" t="n">
        <f aca="false">ROUND(100*((N('Player Data'!U16)&gt;='Model Settings'!$E$25)*'Model Settings'!$F$25+(N('Player Data'!V16)&gt;='Model Settings'!$E$26)*'Model Settings'!$F$26+(N('Player Data'!W16)&gt;='Model Settings'!$E$27)*'Model Settings'!$F$27+(N('Player Data'!AT16)&gt;='Model Settings'!$E$28)*'Model Settings'!$F$28+(N('Player Data'!AE16)&gt;='Model Settings'!$E$29)*'Model Settings'!$F$29+(N('Player Data'!AO16)&gt;='Model Settings'!$E$30)*'Model Settings'!$F$30+(N('Player Data'!AG16)&gt;='Model Settings'!$E$31)*'Model Settings'!$F$31)/('Model Settings'!$F$25+'Model Settings'!$F$26+'Model Settings'!$F$27+'Model Settings'!$F$28+'Model Settings'!$F$29+'Model Settings'!$F$30+'Model Settings'!$F$31),0)</f>
        <v>14</v>
      </c>
      <c r="E16" s="50" t="n">
        <f aca="false">ROUND(100*((N('Player Data'!Z16)&gt;='Model Settings'!$E$32)*'Model Settings'!$F$32+(N('Player Data'!BN16)&gt;='Model Settings'!$E$33)*'Model Settings'!$F$33+(N('Player Data'!BO16)&gt;='Model Settings'!$E$34)*'Model Settings'!$F$34+(N('Player Data'!BP16)&gt;='Model Settings'!$E$35)*'Model Settings'!$F$35+('Player Data'!BR16='Model Settings'!$E$36)*'Model Settings'!$F$36+(N('Player Data'!AW16)&gt;='Model Settings'!$E$37)*'Model Settings'!$F$37+(N('Player Data'!AF16)&lt;='Model Settings'!$E$38)*'Model Settings'!$F$38)/('Model Settings'!$F$32+'Model Settings'!$F$33+'Model Settings'!$F$34+'Model Settings'!$F$35+'Model Settings'!$F$36+'Model Settings'!$F$37+'Model Settings'!$F$38),0)</f>
        <v>0</v>
      </c>
      <c r="F16" s="50" t="n">
        <f aca="false">ROUND(100*((N('Player Data'!K16)&gt;='Model Settings'!$E$39)*'Model Settings'!$F$39+(N('Player Data'!P16)&gt;='Model Settings'!$E$40)*'Model Settings'!$F$40+(N('Player Data'!M16)&gt;='Model Settings'!$E$41)*'Model Settings'!$F$41+(N('Player Data'!AU16)&gt;='Model Settings'!$E$42)*'Model Settings'!$F$42+(N('Player Data'!CL16)&gt;='Model Settings'!$E$43)*'Model Settings'!$F$43+(N('Player Data'!Q16)&gt;='Model Settings'!$E$44)*'Model Settings'!$F$44)/('Model Settings'!$F$39+'Model Settings'!$F$40+'Model Settings'!$F$41+'Model Settings'!$F$42+'Model Settings'!$F$43+'Model Settings'!$F$44),0)</f>
        <v>17</v>
      </c>
      <c r="G16" s="50" t="n">
        <f aca="false">ROUND(100*((N('Player Data'!BE16)&gt;='Model Settings'!$E$45)*'Model Settings'!$F$45+(N('Player Data'!BH16)&gt;='Model Settings'!$E$46)*'Model Settings'!$F$46+(N('Player Data'!U16)&gt;='Model Settings'!$E$47)*'Model Settings'!$F$47+(N('Player Data'!BN16)&gt;='Model Settings'!$E$48)*'Model Settings'!$F$48+(N('Player Data'!AX16)&gt;='Model Settings'!$E$49)*'Model Settings'!$F$49+(N('Player Data'!BL16)&gt;='Model Settings'!$E$50)*'Model Settings'!$F$50+(N('Player Data'!BI16)&gt;='Model Settings'!$E$51)*'Model Settings'!$F$51)/('Model Settings'!$F$45+'Model Settings'!$F$46+'Model Settings'!$F$47+'Model Settings'!$F$48+'Model Settings'!$F$49+'Model Settings'!$F$50+'Model Settings'!$F$51),0)</f>
        <v>29</v>
      </c>
      <c r="H16" s="34" t="str">
        <f aca="false">IF(AND(B16&lt;'Model Settings'!$E$66,E16&lt;'Model Settings'!$E$68),"Non-problem",IF(E16&gt;='Model Settings'!$E$68,"Financially vulnerable",IF(OR(N('Player Data'!BY16)&gt;=1,N('Player Data'!BX16)&gt;=2,N('Player Data'!BW16)&gt;=3),"Emotionally vulnerable","At-risk")))</f>
        <v>Non-problem</v>
      </c>
      <c r="I16" s="34" t="str">
        <f aca="false">IF(OR(N('Player Data'!BY16)&gt;=1,'Player Data'!BZ16="Yes"),"Alert","None")</f>
        <v>None</v>
      </c>
      <c r="J16" s="34" t="str">
        <f aca="false">IF(OR(B16&gt;='Model Settings'!$E$67,'Player Data'!BM16="Yes",I16="Alert"),"Suppress",IF(AND(B16&gt;='Model Settings'!$E$66,'Player Data'!G16="Yes"),"Review VIP","Allow"))</f>
        <v>Allow</v>
      </c>
      <c r="K16" s="50" t="n">
        <f aca="false">ROUND(100*((N('Player Data'!CH16)&gt;='Model Settings'!$E$52)*'Model Settings'!$F$52+(N('Player Data'!CI16)&gt;='Model Settings'!$E$53)*'Model Settings'!$F$53+(N('Player Data'!R16)&gt;='Model Settings'!$E$54)*'Model Settings'!$F$54+(N('Player Data'!Y16)&gt;='Model Settings'!$E$55)*'Model Settings'!$F$55+(N('Player Data'!AS16)&gt;='Model Settings'!$E$56)*'Model Settings'!$F$56)/('Model Settings'!$F$52+'Model Settings'!$F$53+'Model Settings'!$F$54+'Model Settings'!$F$55+'Model Settings'!$F$56),0)</f>
        <v>0</v>
      </c>
      <c r="L16" s="34" t="str">
        <f aca="false">IF('Player Data'!D16="Spain",ROUND(100*((N('Player Data'!H16)&gt;='Model Settings'!$E$57)*'Model Settings'!$F$57+(N('Player Data'!AI16)&gt;='Model Settings'!$E$58)*'Model Settings'!$F$58+(N('Player Data'!AL16)&gt;='Model Settings'!$E$59)*'Model Settings'!$F$59+(N('Player Data'!M16)&gt;='Model Settings'!$E$60)*'Model Settings'!$F$60+(N('Player Data'!X16)&lt;='Model Settings'!$E$61)*'Model Settings'!$F$61+(N('Player Data'!Y16)&gt;='Model Settings'!$E$62)*'Model Settings'!$F$62+(N('Player Data'!P16)&gt;='Model Settings'!$E$63)*'Model Settings'!$F$63)/('Model Settings'!$F$57+'Model Settings'!$F$58+'Model Settings'!$F$59+'Model Settings'!$F$60+'Model Settings'!$F$61+'Model Settings'!$F$62+'Model Settings'!$F$63),0),"n/a")</f>
        <v>n/a</v>
      </c>
      <c r="M16" s="34" t="str">
        <f aca="false">IF('Player Data'!CA16="None","No contact yet",IF('Player Data'!CA16="Improved","Working",IF('Player Data'!CA16="No change","Review approach","Escalate")))</f>
        <v>No contact yet</v>
      </c>
      <c r="N16" s="49" t="str">
        <f aca="false">IF(OR('Player Data'!BM16="Yes",I16="Alert"),"High",IF(B16&gt;='Model Settings'!$E$67,"High",IF(OR(B16&gt;='Model Settings'!$E$66,D16&gt;='Model Settings'!$E$68,F16&gt;='Model Settings'!$E$68,K16&gt;='Model Settings'!$E$68),"Medium","Low")))</f>
        <v>Low</v>
      </c>
      <c r="O16" s="34" t="str">
        <f aca="false">IF(N16="High","Contact player + review within 48h; stop marketing",IF(N16="Medium","Safer gambling message; monitor weekly","No action; routine monitoring"))</f>
        <v>No action; routine monitoring</v>
      </c>
      <c r="P16" s="34" t="n">
        <f aca="false">IF(OR(N16="High",AND('Model Settings'!$E$70="High+Medium",N16="Medium")),1,0)</f>
        <v>0</v>
      </c>
      <c r="Q16" s="34" t="n">
        <f aca="false">'Player Data'!CM16</f>
        <v>1</v>
      </c>
    </row>
    <row r="17" customFormat="false" ht="15" hidden="false" customHeight="false" outlineLevel="0" collapsed="false">
      <c r="A17" s="49" t="str">
        <f aca="false">'Player Data'!A17</f>
        <v>P012</v>
      </c>
      <c r="B17" s="50" t="n">
        <f aca="false">ROUND(100*((N('Player Data'!U17)&gt;='Model Settings'!$E$5)*'Model Settings'!$F$5+(N('Player Data'!AT17)&gt;='Model Settings'!$E$6)*'Model Settings'!$F$6+(N('Player Data'!BI17)&gt;='Model Settings'!$E$7)*'Model Settings'!$F$7+(N('Player Data'!AL17)&gt;='Model Settings'!$E$8)*'Model Settings'!$F$8+(N('Player Data'!AH17)&gt;='Model Settings'!$E$9)*'Model Settings'!$F$9+(N('Player Data'!B17)&lt;='Model Settings'!$E$10)*'Model Settings'!$F$10+(N('Player Data'!M17)&gt;='Model Settings'!$E$11)*'Model Settings'!$F$11+(N('Player Data'!J17)&lt;='Model Settings'!$E$12)*'Model Settings'!$F$12+(N('Player Data'!V17)&gt;='Model Settings'!$E$13)*'Model Settings'!$F$13+(N('Player Data'!W17)&gt;='Model Settings'!$E$14)*'Model Settings'!$F$14+(N('Player Data'!AE17)&gt;='Model Settings'!$E$15)*'Model Settings'!$F$15+(N('Player Data'!BF17)&gt;='Model Settings'!$E$16)*'Model Settings'!$F$16+(N('Player Data'!AX17)&gt;='Model Settings'!$E$17)*'Model Settings'!$F$17+(N('Player Data'!AP17)&gt;='Model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37</v>
      </c>
      <c r="C17" s="34" t="str">
        <f aca="false">IF('Player Data'!E17&lt;='Model Settings'!$E$69,ROUND(100*((N('Player Data'!H17)&gt;='Model Settings'!$E$19)*'Model Settings'!$F$19+(N('Player Data'!S17)&gt;='Model Settings'!$E$20)*'Model Settings'!$F$20+(N('Player Data'!AH17)&gt;='Model Settings'!$E$21)*'Model Settings'!$F$21+(N('Player Data'!AX17)&gt;='Model Settings'!$E$22)*'Model Settings'!$F$22+(N('Player Data'!Y17)&gt;='Model Settings'!$E$23)*'Model Settings'!$F$23+(N('Player Data'!AM17)&gt;='Model Settings'!$E$24)*'Model Settings'!$F$24)/('Model Settings'!$F$19+'Model Settings'!$F$20+'Model Settings'!$F$21+'Model Settings'!$F$22+'Model Settings'!$F$23+'Model Settings'!$F$24),0),"n/a")</f>
        <v>n/a</v>
      </c>
      <c r="D17" s="50" t="n">
        <f aca="false">ROUND(100*((N('Player Data'!U17)&gt;='Model Settings'!$E$25)*'Model Settings'!$F$25+(N('Player Data'!V17)&gt;='Model Settings'!$E$26)*'Model Settings'!$F$26+(N('Player Data'!W17)&gt;='Model Settings'!$E$27)*'Model Settings'!$F$27+(N('Player Data'!AT17)&gt;='Model Settings'!$E$28)*'Model Settings'!$F$28+(N('Player Data'!AE17)&gt;='Model Settings'!$E$29)*'Model Settings'!$F$29+(N('Player Data'!AO17)&gt;='Model Settings'!$E$30)*'Model Settings'!$F$30+(N('Player Data'!AG17)&gt;='Model Settings'!$E$31)*'Model Settings'!$F$31)/('Model Settings'!$F$25+'Model Settings'!$F$26+'Model Settings'!$F$27+'Model Settings'!$F$28+'Model Settings'!$F$29+'Model Settings'!$F$30+'Model Settings'!$F$31),0)</f>
        <v>29</v>
      </c>
      <c r="E17" s="50" t="n">
        <f aca="false">ROUND(100*((N('Player Data'!Z17)&gt;='Model Settings'!$E$32)*'Model Settings'!$F$32+(N('Player Data'!BN17)&gt;='Model Settings'!$E$33)*'Model Settings'!$F$33+(N('Player Data'!BO17)&gt;='Model Settings'!$E$34)*'Model Settings'!$F$34+(N('Player Data'!BP17)&gt;='Model Settings'!$E$35)*'Model Settings'!$F$35+('Player Data'!BR17='Model Settings'!$E$36)*'Model Settings'!$F$36+(N('Player Data'!AW17)&gt;='Model Settings'!$E$37)*'Model Settings'!$F$37+(N('Player Data'!AF17)&lt;='Model Settings'!$E$38)*'Model Settings'!$F$38)/('Model Settings'!$F$32+'Model Settings'!$F$33+'Model Settings'!$F$34+'Model Settings'!$F$35+'Model Settings'!$F$36+'Model Settings'!$F$37+'Model Settings'!$F$38),0)</f>
        <v>43</v>
      </c>
      <c r="F17" s="50" t="n">
        <f aca="false">ROUND(100*((N('Player Data'!K17)&gt;='Model Settings'!$E$39)*'Model Settings'!$F$39+(N('Player Data'!P17)&gt;='Model Settings'!$E$40)*'Model Settings'!$F$40+(N('Player Data'!M17)&gt;='Model Settings'!$E$41)*'Model Settings'!$F$41+(N('Player Data'!AU17)&gt;='Model Settings'!$E$42)*'Model Settings'!$F$42+(N('Player Data'!CL17)&gt;='Model Settings'!$E$43)*'Model Settings'!$F$43+(N('Player Data'!Q17)&gt;='Model Settings'!$E$44)*'Model Settings'!$F$44)/('Model Settings'!$F$39+'Model Settings'!$F$40+'Model Settings'!$F$41+'Model Settings'!$F$42+'Model Settings'!$F$43+'Model Settings'!$F$44),0)</f>
        <v>33</v>
      </c>
      <c r="G17" s="50" t="n">
        <f aca="false">ROUND(100*((N('Player Data'!BE17)&gt;='Model Settings'!$E$45)*'Model Settings'!$F$45+(N('Player Data'!BH17)&gt;='Model Settings'!$E$46)*'Model Settings'!$F$46+(N('Player Data'!U17)&gt;='Model Settings'!$E$47)*'Model Settings'!$F$47+(N('Player Data'!BN17)&gt;='Model Settings'!$E$48)*'Model Settings'!$F$48+(N('Player Data'!AX17)&gt;='Model Settings'!$E$49)*'Model Settings'!$F$49+(N('Player Data'!BL17)&gt;='Model Settings'!$E$50)*'Model Settings'!$F$50+(N('Player Data'!BI17)&gt;='Model Settings'!$E$51)*'Model Settings'!$F$51)/('Model Settings'!$F$45+'Model Settings'!$F$46+'Model Settings'!$F$47+'Model Settings'!$F$48+'Model Settings'!$F$49+'Model Settings'!$F$50+'Model Settings'!$F$51),0)</f>
        <v>29</v>
      </c>
      <c r="H17" s="34" t="str">
        <f aca="false">IF(AND(B17&lt;'Model Settings'!$E$66,E17&lt;'Model Settings'!$E$68),"Non-problem",IF(E17&gt;='Model Settings'!$E$68,"Financially vulnerable",IF(OR(N('Player Data'!BY17)&gt;=1,N('Player Data'!BX17)&gt;=2,N('Player Data'!BW17)&gt;=3),"Emotionally vulnerable","At-risk")))</f>
        <v>At-risk</v>
      </c>
      <c r="I17" s="34" t="str">
        <f aca="false">IF(OR(N('Player Data'!BY17)&gt;=1,'Player Data'!BZ17="Yes"),"Alert","None")</f>
        <v>None</v>
      </c>
      <c r="J17" s="34" t="str">
        <f aca="false">IF(OR(B17&gt;='Model Settings'!$E$67,'Player Data'!BM17="Yes",I17="Alert"),"Suppress",IF(AND(B17&gt;='Model Settings'!$E$66,'Player Data'!G17="Yes"),"Review VIP","Allow"))</f>
        <v>Allow</v>
      </c>
      <c r="K17" s="50" t="n">
        <f aca="false">ROUND(100*((N('Player Data'!CH17)&gt;='Model Settings'!$E$52)*'Model Settings'!$F$52+(N('Player Data'!CI17)&gt;='Model Settings'!$E$53)*'Model Settings'!$F$53+(N('Player Data'!R17)&gt;='Model Settings'!$E$54)*'Model Settings'!$F$54+(N('Player Data'!Y17)&gt;='Model Settings'!$E$55)*'Model Settings'!$F$55+(N('Player Data'!AS17)&gt;='Model Settings'!$E$56)*'Model Settings'!$F$56)/('Model Settings'!$F$52+'Model Settings'!$F$53+'Model Settings'!$F$54+'Model Settings'!$F$55+'Model Settings'!$F$56),0)</f>
        <v>20</v>
      </c>
      <c r="L17" s="34" t="n">
        <f aca="false">IF('Player Data'!D17="Spain",ROUND(100*((N('Player Data'!H17)&gt;='Model Settings'!$E$57)*'Model Settings'!$F$57+(N('Player Data'!AI17)&gt;='Model Settings'!$E$58)*'Model Settings'!$F$58+(N('Player Data'!AL17)&gt;='Model Settings'!$E$59)*'Model Settings'!$F$59+(N('Player Data'!M17)&gt;='Model Settings'!$E$60)*'Model Settings'!$F$60+(N('Player Data'!X17)&lt;='Model Settings'!$E$61)*'Model Settings'!$F$61+(N('Player Data'!Y17)&gt;='Model Settings'!$E$62)*'Model Settings'!$F$62+(N('Player Data'!P17)&gt;='Model Settings'!$E$63)*'Model Settings'!$F$63)/('Model Settings'!$F$57+'Model Settings'!$F$58+'Model Settings'!$F$59+'Model Settings'!$F$60+'Model Settings'!$F$61+'Model Settings'!$F$62+'Model Settings'!$F$63),0),"n/a")</f>
        <v>71</v>
      </c>
      <c r="M17" s="34" t="str">
        <f aca="false">IF('Player Data'!CA17="None","No contact yet",IF('Player Data'!CA17="Improved","Working",IF('Player Data'!CA17="No change","Review approach","Escalate")))</f>
        <v>No contact yet</v>
      </c>
      <c r="N17" s="49" t="str">
        <f aca="false">IF(OR('Player Data'!BM17="Yes",I17="Alert"),"High",IF(B17&gt;='Model Settings'!$E$67,"High",IF(OR(B17&gt;='Model Settings'!$E$66,D17&gt;='Model Settings'!$E$68,F17&gt;='Model Settings'!$E$68,K17&gt;='Model Settings'!$E$68),"Medium","Low")))</f>
        <v>Medium</v>
      </c>
      <c r="O17" s="34" t="str">
        <f aca="false">IF(N17="High","Contact player + review within 48h; stop marketing",IF(N17="Medium","Safer gambling message; monitor weekly","No action; routine monitoring"))</f>
        <v>Safer gambling message; monitor weekly</v>
      </c>
      <c r="P17" s="34" t="n">
        <f aca="false">IF(OR(N17="High",AND('Model Settings'!$E$70="High+Medium",N17="Medium")),1,0)</f>
        <v>0</v>
      </c>
      <c r="Q17" s="34" t="n">
        <f aca="false">'Player Data'!CM17</f>
        <v>0</v>
      </c>
    </row>
    <row r="18" customFormat="false" ht="15" hidden="false" customHeight="false" outlineLevel="0" collapsed="false">
      <c r="A18" s="49" t="str">
        <f aca="false">'Player Data'!A18</f>
        <v>P013</v>
      </c>
      <c r="B18" s="50" t="n">
        <f aca="false">ROUND(100*((N('Player Data'!U18)&gt;='Model Settings'!$E$5)*'Model Settings'!$F$5+(N('Player Data'!AT18)&gt;='Model Settings'!$E$6)*'Model Settings'!$F$6+(N('Player Data'!BI18)&gt;='Model Settings'!$E$7)*'Model Settings'!$F$7+(N('Player Data'!AL18)&gt;='Model Settings'!$E$8)*'Model Settings'!$F$8+(N('Player Data'!AH18)&gt;='Model Settings'!$E$9)*'Model Settings'!$F$9+(N('Player Data'!B18)&lt;='Model Settings'!$E$10)*'Model Settings'!$F$10+(N('Player Data'!M18)&gt;='Model Settings'!$E$11)*'Model Settings'!$F$11+(N('Player Data'!J18)&lt;='Model Settings'!$E$12)*'Model Settings'!$F$12+(N('Player Data'!V18)&gt;='Model Settings'!$E$13)*'Model Settings'!$F$13+(N('Player Data'!W18)&gt;='Model Settings'!$E$14)*'Model Settings'!$F$14+(N('Player Data'!AE18)&gt;='Model Settings'!$E$15)*'Model Settings'!$F$15+(N('Player Data'!BF18)&gt;='Model Settings'!$E$16)*'Model Settings'!$F$16+(N('Player Data'!AX18)&gt;='Model Settings'!$E$17)*'Model Settings'!$F$17+(N('Player Data'!AP18)&gt;='Model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18" s="34" t="str">
        <f aca="false">IF('Player Data'!E18&lt;='Model Settings'!$E$69,ROUND(100*((N('Player Data'!H18)&gt;='Model Settings'!$E$19)*'Model Settings'!$F$19+(N('Player Data'!S18)&gt;='Model Settings'!$E$20)*'Model Settings'!$F$20+(N('Player Data'!AH18)&gt;='Model Settings'!$E$21)*'Model Settings'!$F$21+(N('Player Data'!AX18)&gt;='Model Settings'!$E$22)*'Model Settings'!$F$22+(N('Player Data'!Y18)&gt;='Model Settings'!$E$23)*'Model Settings'!$F$23+(N('Player Data'!AM18)&gt;='Model Settings'!$E$24)*'Model Settings'!$F$24)/('Model Settings'!$F$19+'Model Settings'!$F$20+'Model Settings'!$F$21+'Model Settings'!$F$22+'Model Settings'!$F$23+'Model Settings'!$F$24),0),"n/a")</f>
        <v>n/a</v>
      </c>
      <c r="D18" s="50" t="n">
        <f aca="false">ROUND(100*((N('Player Data'!U18)&gt;='Model Settings'!$E$25)*'Model Settings'!$F$25+(N('Player Data'!V18)&gt;='Model Settings'!$E$26)*'Model Settings'!$F$26+(N('Player Data'!W18)&gt;='Model Settings'!$E$27)*'Model Settings'!$F$27+(N('Player Data'!AT18)&gt;='Model Settings'!$E$28)*'Model Settings'!$F$28+(N('Player Data'!AE18)&gt;='Model Settings'!$E$29)*'Model Settings'!$F$29+(N('Player Data'!AO18)&gt;='Model Settings'!$E$30)*'Model Settings'!$F$30+(N('Player Data'!AG18)&gt;='Model Settings'!$E$31)*'Model Settings'!$F$31)/('Model Settings'!$F$25+'Model Settings'!$F$26+'Model Settings'!$F$27+'Model Settings'!$F$28+'Model Settings'!$F$29+'Model Settings'!$F$30+'Model Settings'!$F$31),0)</f>
        <v>14</v>
      </c>
      <c r="E18" s="50" t="n">
        <f aca="false">ROUND(100*((N('Player Data'!Z18)&gt;='Model Settings'!$E$32)*'Model Settings'!$F$32+(N('Player Data'!BN18)&gt;='Model Settings'!$E$33)*'Model Settings'!$F$33+(N('Player Data'!BO18)&gt;='Model Settings'!$E$34)*'Model Settings'!$F$34+(N('Player Data'!BP18)&gt;='Model Settings'!$E$35)*'Model Settings'!$F$35+('Player Data'!BR18='Model Settings'!$E$36)*'Model Settings'!$F$36+(N('Player Data'!AW18)&gt;='Model Settings'!$E$37)*'Model Settings'!$F$37+(N('Player Data'!AF18)&lt;='Model Settings'!$E$38)*'Model Settings'!$F$38)/('Model Settings'!$F$32+'Model Settings'!$F$33+'Model Settings'!$F$34+'Model Settings'!$F$35+'Model Settings'!$F$36+'Model Settings'!$F$37+'Model Settings'!$F$38),0)</f>
        <v>14</v>
      </c>
      <c r="F18" s="50" t="n">
        <f aca="false">ROUND(100*((N('Player Data'!K18)&gt;='Model Settings'!$E$39)*'Model Settings'!$F$39+(N('Player Data'!P18)&gt;='Model Settings'!$E$40)*'Model Settings'!$F$40+(N('Player Data'!M18)&gt;='Model Settings'!$E$41)*'Model Settings'!$F$41+(N('Player Data'!AU18)&gt;='Model Settings'!$E$42)*'Model Settings'!$F$42+(N('Player Data'!CL18)&gt;='Model Settings'!$E$43)*'Model Settings'!$F$43+(N('Player Data'!Q18)&gt;='Model Settings'!$E$44)*'Model Settings'!$F$44)/('Model Settings'!$F$39+'Model Settings'!$F$40+'Model Settings'!$F$41+'Model Settings'!$F$42+'Model Settings'!$F$43+'Model Settings'!$F$44),0)</f>
        <v>17</v>
      </c>
      <c r="G18" s="50" t="n">
        <f aca="false">ROUND(100*((N('Player Data'!BE18)&gt;='Model Settings'!$E$45)*'Model Settings'!$F$45+(N('Player Data'!BH18)&gt;='Model Settings'!$E$46)*'Model Settings'!$F$46+(N('Player Data'!U18)&gt;='Model Settings'!$E$47)*'Model Settings'!$F$47+(N('Player Data'!BN18)&gt;='Model Settings'!$E$48)*'Model Settings'!$F$48+(N('Player Data'!AX18)&gt;='Model Settings'!$E$49)*'Model Settings'!$F$49+(N('Player Data'!BL18)&gt;='Model Settings'!$E$50)*'Model Settings'!$F$50+(N('Player Data'!BI18)&gt;='Model Settings'!$E$51)*'Model Settings'!$F$51)/('Model Settings'!$F$45+'Model Settings'!$F$46+'Model Settings'!$F$47+'Model Settings'!$F$48+'Model Settings'!$F$49+'Model Settings'!$F$50+'Model Settings'!$F$51),0)</f>
        <v>14</v>
      </c>
      <c r="H18" s="34" t="str">
        <f aca="false">IF(AND(B18&lt;'Model Settings'!$E$66,E18&lt;'Model Settings'!$E$68),"Non-problem",IF(E18&gt;='Model Settings'!$E$68,"Financially vulnerable",IF(OR(N('Player Data'!BY18)&gt;=1,N('Player Data'!BX18)&gt;=2,N('Player Data'!BW18)&gt;=3),"Emotionally vulnerable","At-risk")))</f>
        <v>Non-problem</v>
      </c>
      <c r="I18" s="34" t="str">
        <f aca="false">IF(OR(N('Player Data'!BY18)&gt;=1,'Player Data'!BZ18="Yes"),"Alert","None")</f>
        <v>None</v>
      </c>
      <c r="J18" s="34" t="str">
        <f aca="false">IF(OR(B18&gt;='Model Settings'!$E$67,'Player Data'!BM18="Yes",I18="Alert"),"Suppress",IF(AND(B18&gt;='Model Settings'!$E$66,'Player Data'!G18="Yes"),"Review VIP","Allow"))</f>
        <v>Allow</v>
      </c>
      <c r="K18" s="50" t="n">
        <f aca="false">ROUND(100*((N('Player Data'!CH18)&gt;='Model Settings'!$E$52)*'Model Settings'!$F$52+(N('Player Data'!CI18)&gt;='Model Settings'!$E$53)*'Model Settings'!$F$53+(N('Player Data'!R18)&gt;='Model Settings'!$E$54)*'Model Settings'!$F$54+(N('Player Data'!Y18)&gt;='Model Settings'!$E$55)*'Model Settings'!$F$55+(N('Player Data'!AS18)&gt;='Model Settings'!$E$56)*'Model Settings'!$F$56)/('Model Settings'!$F$52+'Model Settings'!$F$53+'Model Settings'!$F$54+'Model Settings'!$F$55+'Model Settings'!$F$56),0)</f>
        <v>60</v>
      </c>
      <c r="L18" s="34" t="str">
        <f aca="false">IF('Player Data'!D18="Spain",ROUND(100*((N('Player Data'!H18)&gt;='Model Settings'!$E$57)*'Model Settings'!$F$57+(N('Player Data'!AI18)&gt;='Model Settings'!$E$58)*'Model Settings'!$F$58+(N('Player Data'!AL18)&gt;='Model Settings'!$E$59)*'Model Settings'!$F$59+(N('Player Data'!M18)&gt;='Model Settings'!$E$60)*'Model Settings'!$F$60+(N('Player Data'!X18)&lt;='Model Settings'!$E$61)*'Model Settings'!$F$61+(N('Player Data'!Y18)&gt;='Model Settings'!$E$62)*'Model Settings'!$F$62+(N('Player Data'!P18)&gt;='Model Settings'!$E$63)*'Model Settings'!$F$63)/('Model Settings'!$F$57+'Model Settings'!$F$58+'Model Settings'!$F$59+'Model Settings'!$F$60+'Model Settings'!$F$61+'Model Settings'!$F$62+'Model Settings'!$F$63),0),"n/a")</f>
        <v>n/a</v>
      </c>
      <c r="M18" s="34" t="str">
        <f aca="false">IF('Player Data'!CA18="None","No contact yet",IF('Player Data'!CA18="Improved","Working",IF('Player Data'!CA18="No change","Review approach","Escalate")))</f>
        <v>No contact yet</v>
      </c>
      <c r="N18" s="49" t="str">
        <f aca="false">IF(OR('Player Data'!BM18="Yes",I18="Alert"),"High",IF(B18&gt;='Model Settings'!$E$67,"High",IF(OR(B18&gt;='Model Settings'!$E$66,D18&gt;='Model Settings'!$E$68,F18&gt;='Model Settings'!$E$68,K18&gt;='Model Settings'!$E$68),"Medium","Low")))</f>
        <v>Medium</v>
      </c>
      <c r="O18" s="34" t="str">
        <f aca="false">IF(N18="High","Contact player + review within 48h; stop marketing",IF(N18="Medium","Safer gambling message; monitor weekly","No action; routine monitoring"))</f>
        <v>Safer gambling message; monitor weekly</v>
      </c>
      <c r="P18" s="34" t="n">
        <f aca="false">IF(OR(N18="High",AND('Model Settings'!$E$70="High+Medium",N18="Medium")),1,0)</f>
        <v>0</v>
      </c>
      <c r="Q18" s="34" t="n">
        <f aca="false">'Player Data'!CM18</f>
        <v>0</v>
      </c>
    </row>
    <row r="19" customFormat="false" ht="15" hidden="false" customHeight="false" outlineLevel="0" collapsed="false">
      <c r="A19" s="49" t="str">
        <f aca="false">'Player Data'!A19</f>
        <v>P014</v>
      </c>
      <c r="B19" s="50" t="n">
        <f aca="false">ROUND(100*((N('Player Data'!U19)&gt;='Model Settings'!$E$5)*'Model Settings'!$F$5+(N('Player Data'!AT19)&gt;='Model Settings'!$E$6)*'Model Settings'!$F$6+(N('Player Data'!BI19)&gt;='Model Settings'!$E$7)*'Model Settings'!$F$7+(N('Player Data'!AL19)&gt;='Model Settings'!$E$8)*'Model Settings'!$F$8+(N('Player Data'!AH19)&gt;='Model Settings'!$E$9)*'Model Settings'!$F$9+(N('Player Data'!B19)&lt;='Model Settings'!$E$10)*'Model Settings'!$F$10+(N('Player Data'!M19)&gt;='Model Settings'!$E$11)*'Model Settings'!$F$11+(N('Player Data'!J19)&lt;='Model Settings'!$E$12)*'Model Settings'!$F$12+(N('Player Data'!V19)&gt;='Model Settings'!$E$13)*'Model Settings'!$F$13+(N('Player Data'!W19)&gt;='Model Settings'!$E$14)*'Model Settings'!$F$14+(N('Player Data'!AE19)&gt;='Model Settings'!$E$15)*'Model Settings'!$F$15+(N('Player Data'!BF19)&gt;='Model Settings'!$E$16)*'Model Settings'!$F$16+(N('Player Data'!AX19)&gt;='Model Settings'!$E$17)*'Model Settings'!$F$17+(N('Player Data'!AP19)&gt;='Model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9" s="34" t="str">
        <f aca="false">IF('Player Data'!E19&lt;='Model Settings'!$E$69,ROUND(100*((N('Player Data'!H19)&gt;='Model Settings'!$E$19)*'Model Settings'!$F$19+(N('Player Data'!S19)&gt;='Model Settings'!$E$20)*'Model Settings'!$F$20+(N('Player Data'!AH19)&gt;='Model Settings'!$E$21)*'Model Settings'!$F$21+(N('Player Data'!AX19)&gt;='Model Settings'!$E$22)*'Model Settings'!$F$22+(N('Player Data'!Y19)&gt;='Model Settings'!$E$23)*'Model Settings'!$F$23+(N('Player Data'!AM19)&gt;='Model Settings'!$E$24)*'Model Settings'!$F$24)/('Model Settings'!$F$19+'Model Settings'!$F$20+'Model Settings'!$F$21+'Model Settings'!$F$22+'Model Settings'!$F$23+'Model Settings'!$F$24),0),"n/a")</f>
        <v>n/a</v>
      </c>
      <c r="D19" s="50" t="n">
        <f aca="false">ROUND(100*((N('Player Data'!U19)&gt;='Model Settings'!$E$25)*'Model Settings'!$F$25+(N('Player Data'!V19)&gt;='Model Settings'!$E$26)*'Model Settings'!$F$26+(N('Player Data'!W19)&gt;='Model Settings'!$E$27)*'Model Settings'!$F$27+(N('Player Data'!AT19)&gt;='Model Settings'!$E$28)*'Model Settings'!$F$28+(N('Player Data'!AE19)&gt;='Model Settings'!$E$29)*'Model Settings'!$F$29+(N('Player Data'!AO19)&gt;='Model Settings'!$E$30)*'Model Settings'!$F$30+(N('Player Data'!AG19)&gt;='Model Settings'!$E$31)*'Model Settings'!$F$31)/('Model Settings'!$F$25+'Model Settings'!$F$26+'Model Settings'!$F$27+'Model Settings'!$F$28+'Model Settings'!$F$29+'Model Settings'!$F$30+'Model Settings'!$F$31),0)</f>
        <v>0</v>
      </c>
      <c r="E19" s="50" t="n">
        <f aca="false">ROUND(100*((N('Player Data'!Z19)&gt;='Model Settings'!$E$32)*'Model Settings'!$F$32+(N('Player Data'!BN19)&gt;='Model Settings'!$E$33)*'Model Settings'!$F$33+(N('Player Data'!BO19)&gt;='Model Settings'!$E$34)*'Model Settings'!$F$34+(N('Player Data'!BP19)&gt;='Model Settings'!$E$35)*'Model Settings'!$F$35+('Player Data'!BR19='Model Settings'!$E$36)*'Model Settings'!$F$36+(N('Player Data'!AW19)&gt;='Model Settings'!$E$37)*'Model Settings'!$F$37+(N('Player Data'!AF19)&lt;='Model Settings'!$E$38)*'Model Settings'!$F$38)/('Model Settings'!$F$32+'Model Settings'!$F$33+'Model Settings'!$F$34+'Model Settings'!$F$35+'Model Settings'!$F$36+'Model Settings'!$F$37+'Model Settings'!$F$38),0)</f>
        <v>0</v>
      </c>
      <c r="F19" s="50" t="n">
        <f aca="false">ROUND(100*((N('Player Data'!K19)&gt;='Model Settings'!$E$39)*'Model Settings'!$F$39+(N('Player Data'!P19)&gt;='Model Settings'!$E$40)*'Model Settings'!$F$40+(N('Player Data'!M19)&gt;='Model Settings'!$E$41)*'Model Settings'!$F$41+(N('Player Data'!AU19)&gt;='Model Settings'!$E$42)*'Model Settings'!$F$42+(N('Player Data'!CL19)&gt;='Model Settings'!$E$43)*'Model Settings'!$F$43+(N('Player Data'!Q19)&gt;='Model Settings'!$E$44)*'Model Settings'!$F$44)/('Model Settings'!$F$39+'Model Settings'!$F$40+'Model Settings'!$F$41+'Model Settings'!$F$42+'Model Settings'!$F$43+'Model Settings'!$F$44),0)</f>
        <v>33</v>
      </c>
      <c r="G19" s="50" t="n">
        <f aca="false">ROUND(100*((N('Player Data'!BE19)&gt;='Model Settings'!$E$45)*'Model Settings'!$F$45+(N('Player Data'!BH19)&gt;='Model Settings'!$E$46)*'Model Settings'!$F$46+(N('Player Data'!U19)&gt;='Model Settings'!$E$47)*'Model Settings'!$F$47+(N('Player Data'!BN19)&gt;='Model Settings'!$E$48)*'Model Settings'!$F$48+(N('Player Data'!AX19)&gt;='Model Settings'!$E$49)*'Model Settings'!$F$49+(N('Player Data'!BL19)&gt;='Model Settings'!$E$50)*'Model Settings'!$F$50+(N('Player Data'!BI19)&gt;='Model Settings'!$E$51)*'Model Settings'!$F$51)/('Model Settings'!$F$45+'Model Settings'!$F$46+'Model Settings'!$F$47+'Model Settings'!$F$48+'Model Settings'!$F$49+'Model Settings'!$F$50+'Model Settings'!$F$51),0)</f>
        <v>0</v>
      </c>
      <c r="H19" s="34" t="str">
        <f aca="false">IF(AND(B19&lt;'Model Settings'!$E$66,E19&lt;'Model Settings'!$E$68),"Non-problem",IF(E19&gt;='Model Settings'!$E$68,"Financially vulnerable",IF(OR(N('Player Data'!BY19)&gt;=1,N('Player Data'!BX19)&gt;=2,N('Player Data'!BW19)&gt;=3),"Emotionally vulnerable","At-risk")))</f>
        <v>Non-problem</v>
      </c>
      <c r="I19" s="34" t="str">
        <f aca="false">IF(OR(N('Player Data'!BY19)&gt;=1,'Player Data'!BZ19="Yes"),"Alert","None")</f>
        <v>None</v>
      </c>
      <c r="J19" s="34" t="str">
        <f aca="false">IF(OR(B19&gt;='Model Settings'!$E$67,'Player Data'!BM19="Yes",I19="Alert"),"Suppress",IF(AND(B19&gt;='Model Settings'!$E$66,'Player Data'!G19="Yes"),"Review VIP","Allow"))</f>
        <v>Allow</v>
      </c>
      <c r="K19" s="50" t="n">
        <f aca="false">ROUND(100*((N('Player Data'!CH19)&gt;='Model Settings'!$E$52)*'Model Settings'!$F$52+(N('Player Data'!CI19)&gt;='Model Settings'!$E$53)*'Model Settings'!$F$53+(N('Player Data'!R19)&gt;='Model Settings'!$E$54)*'Model Settings'!$F$54+(N('Player Data'!Y19)&gt;='Model Settings'!$E$55)*'Model Settings'!$F$55+(N('Player Data'!AS19)&gt;='Model Settings'!$E$56)*'Model Settings'!$F$56)/('Model Settings'!$F$52+'Model Settings'!$F$53+'Model Settings'!$F$54+'Model Settings'!$F$55+'Model Settings'!$F$56),0)</f>
        <v>0</v>
      </c>
      <c r="L19" s="34" t="str">
        <f aca="false">IF('Player Data'!D19="Spain",ROUND(100*((N('Player Data'!H19)&gt;='Model Settings'!$E$57)*'Model Settings'!$F$57+(N('Player Data'!AI19)&gt;='Model Settings'!$E$58)*'Model Settings'!$F$58+(N('Player Data'!AL19)&gt;='Model Settings'!$E$59)*'Model Settings'!$F$59+(N('Player Data'!M19)&gt;='Model Settings'!$E$60)*'Model Settings'!$F$60+(N('Player Data'!X19)&lt;='Model Settings'!$E$61)*'Model Settings'!$F$61+(N('Player Data'!Y19)&gt;='Model Settings'!$E$62)*'Model Settings'!$F$62+(N('Player Data'!P19)&gt;='Model Settings'!$E$63)*'Model Settings'!$F$63)/('Model Settings'!$F$57+'Model Settings'!$F$58+'Model Settings'!$F$59+'Model Settings'!$F$60+'Model Settings'!$F$61+'Model Settings'!$F$62+'Model Settings'!$F$63),0),"n/a")</f>
        <v>n/a</v>
      </c>
      <c r="M19" s="34" t="str">
        <f aca="false">IF('Player Data'!CA19="None","No contact yet",IF('Player Data'!CA19="Improved","Working",IF('Player Data'!CA19="No change","Review approach","Escalate")))</f>
        <v>No contact yet</v>
      </c>
      <c r="N19" s="49" t="str">
        <f aca="false">IF(OR('Player Data'!BM19="Yes",I19="Alert"),"High",IF(B19&gt;='Model Settings'!$E$67,"High",IF(OR(B19&gt;='Model Settings'!$E$66,D19&gt;='Model Settings'!$E$68,F19&gt;='Model Settings'!$E$68,K19&gt;='Model Settings'!$E$68),"Medium","Low")))</f>
        <v>Low</v>
      </c>
      <c r="O19" s="34" t="str">
        <f aca="false">IF(N19="High","Contact player + review within 48h; stop marketing",IF(N19="Medium","Safer gambling message; monitor weekly","No action; routine monitoring"))</f>
        <v>No action; routine monitoring</v>
      </c>
      <c r="P19" s="34" t="n">
        <f aca="false">IF(OR(N19="High",AND('Model Settings'!$E$70="High+Medium",N19="Medium")),1,0)</f>
        <v>0</v>
      </c>
      <c r="Q19" s="34" t="n">
        <f aca="false">'Player Data'!CM19</f>
        <v>0</v>
      </c>
    </row>
    <row r="20" customFormat="false" ht="15" hidden="false" customHeight="false" outlineLevel="0" collapsed="false">
      <c r="A20" s="49" t="str">
        <f aca="false">'Player Data'!A20</f>
        <v>P015</v>
      </c>
      <c r="B20" s="50" t="n">
        <f aca="false">ROUND(100*((N('Player Data'!U20)&gt;='Model Settings'!$E$5)*'Model Settings'!$F$5+(N('Player Data'!AT20)&gt;='Model Settings'!$E$6)*'Model Settings'!$F$6+(N('Player Data'!BI20)&gt;='Model Settings'!$E$7)*'Model Settings'!$F$7+(N('Player Data'!AL20)&gt;='Model Settings'!$E$8)*'Model Settings'!$F$8+(N('Player Data'!AH20)&gt;='Model Settings'!$E$9)*'Model Settings'!$F$9+(N('Player Data'!B20)&lt;='Model Settings'!$E$10)*'Model Settings'!$F$10+(N('Player Data'!M20)&gt;='Model Settings'!$E$11)*'Model Settings'!$F$11+(N('Player Data'!J20)&lt;='Model Settings'!$E$12)*'Model Settings'!$F$12+(N('Player Data'!V20)&gt;='Model Settings'!$E$13)*'Model Settings'!$F$13+(N('Player Data'!W20)&gt;='Model Settings'!$E$14)*'Model Settings'!$F$14+(N('Player Data'!AE20)&gt;='Model Settings'!$E$15)*'Model Settings'!$F$15+(N('Player Data'!BF20)&gt;='Model Settings'!$E$16)*'Model Settings'!$F$16+(N('Player Data'!AX20)&gt;='Model Settings'!$E$17)*'Model Settings'!$F$17+(N('Player Data'!AP20)&gt;='Model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20" s="34" t="str">
        <f aca="false">IF('Player Data'!E20&lt;='Model Settings'!$E$69,ROUND(100*((N('Player Data'!H20)&gt;='Model Settings'!$E$19)*'Model Settings'!$F$19+(N('Player Data'!S20)&gt;='Model Settings'!$E$20)*'Model Settings'!$F$20+(N('Player Data'!AH20)&gt;='Model Settings'!$E$21)*'Model Settings'!$F$21+(N('Player Data'!AX20)&gt;='Model Settings'!$E$22)*'Model Settings'!$F$22+(N('Player Data'!Y20)&gt;='Model Settings'!$E$23)*'Model Settings'!$F$23+(N('Player Data'!AM20)&gt;='Model Settings'!$E$24)*'Model Settings'!$F$24)/('Model Settings'!$F$19+'Model Settings'!$F$20+'Model Settings'!$F$21+'Model Settings'!$F$22+'Model Settings'!$F$23+'Model Settings'!$F$24),0),"n/a")</f>
        <v>n/a</v>
      </c>
      <c r="D20" s="50" t="n">
        <f aca="false">ROUND(100*((N('Player Data'!U20)&gt;='Model Settings'!$E$25)*'Model Settings'!$F$25+(N('Player Data'!V20)&gt;='Model Settings'!$E$26)*'Model Settings'!$F$26+(N('Player Data'!W20)&gt;='Model Settings'!$E$27)*'Model Settings'!$F$27+(N('Player Data'!AT20)&gt;='Model Settings'!$E$28)*'Model Settings'!$F$28+(N('Player Data'!AE20)&gt;='Model Settings'!$E$29)*'Model Settings'!$F$29+(N('Player Data'!AO20)&gt;='Model Settings'!$E$30)*'Model Settings'!$F$30+(N('Player Data'!AG20)&gt;='Model Settings'!$E$31)*'Model Settings'!$F$31)/('Model Settings'!$F$25+'Model Settings'!$F$26+'Model Settings'!$F$27+'Model Settings'!$F$28+'Model Settings'!$F$29+'Model Settings'!$F$30+'Model Settings'!$F$31),0)</f>
        <v>14</v>
      </c>
      <c r="E20" s="50" t="n">
        <f aca="false">ROUND(100*((N('Player Data'!Z20)&gt;='Model Settings'!$E$32)*'Model Settings'!$F$32+(N('Player Data'!BN20)&gt;='Model Settings'!$E$33)*'Model Settings'!$F$33+(N('Player Data'!BO20)&gt;='Model Settings'!$E$34)*'Model Settings'!$F$34+(N('Player Data'!BP20)&gt;='Model Settings'!$E$35)*'Model Settings'!$F$35+('Player Data'!BR20='Model Settings'!$E$36)*'Model Settings'!$F$36+(N('Player Data'!AW20)&gt;='Model Settings'!$E$37)*'Model Settings'!$F$37+(N('Player Data'!AF20)&lt;='Model Settings'!$E$38)*'Model Settings'!$F$38)/('Model Settings'!$F$32+'Model Settings'!$F$33+'Model Settings'!$F$34+'Model Settings'!$F$35+'Model Settings'!$F$36+'Model Settings'!$F$37+'Model Settings'!$F$38),0)</f>
        <v>0</v>
      </c>
      <c r="F20" s="50" t="n">
        <f aca="false">ROUND(100*((N('Player Data'!K20)&gt;='Model Settings'!$E$39)*'Model Settings'!$F$39+(N('Player Data'!P20)&gt;='Model Settings'!$E$40)*'Model Settings'!$F$40+(N('Player Data'!M20)&gt;='Model Settings'!$E$41)*'Model Settings'!$F$41+(N('Player Data'!AU20)&gt;='Model Settings'!$E$42)*'Model Settings'!$F$42+(N('Player Data'!CL20)&gt;='Model Settings'!$E$43)*'Model Settings'!$F$43+(N('Player Data'!Q20)&gt;='Model Settings'!$E$44)*'Model Settings'!$F$44)/('Model Settings'!$F$39+'Model Settings'!$F$40+'Model Settings'!$F$41+'Model Settings'!$F$42+'Model Settings'!$F$43+'Model Settings'!$F$44),0)</f>
        <v>17</v>
      </c>
      <c r="G20" s="50" t="n">
        <f aca="false">ROUND(100*((N('Player Data'!BE20)&gt;='Model Settings'!$E$45)*'Model Settings'!$F$45+(N('Player Data'!BH20)&gt;='Model Settings'!$E$46)*'Model Settings'!$F$46+(N('Player Data'!U20)&gt;='Model Settings'!$E$47)*'Model Settings'!$F$47+(N('Player Data'!BN20)&gt;='Model Settings'!$E$48)*'Model Settings'!$F$48+(N('Player Data'!AX20)&gt;='Model Settings'!$E$49)*'Model Settings'!$F$49+(N('Player Data'!BL20)&gt;='Model Settings'!$E$50)*'Model Settings'!$F$50+(N('Player Data'!BI20)&gt;='Model Settings'!$E$51)*'Model Settings'!$F$51)/('Model Settings'!$F$45+'Model Settings'!$F$46+'Model Settings'!$F$47+'Model Settings'!$F$48+'Model Settings'!$F$49+'Model Settings'!$F$50+'Model Settings'!$F$51),0)</f>
        <v>0</v>
      </c>
      <c r="H20" s="34" t="str">
        <f aca="false">IF(AND(B20&lt;'Model Settings'!$E$66,E20&lt;'Model Settings'!$E$68),"Non-problem",IF(E20&gt;='Model Settings'!$E$68,"Financially vulnerable",IF(OR(N('Player Data'!BY20)&gt;=1,N('Player Data'!BX20)&gt;=2,N('Player Data'!BW20)&gt;=3),"Emotionally vulnerable","At-risk")))</f>
        <v>Non-problem</v>
      </c>
      <c r="I20" s="34" t="str">
        <f aca="false">IF(OR(N('Player Data'!BY20)&gt;=1,'Player Data'!BZ20="Yes"),"Alert","None")</f>
        <v>None</v>
      </c>
      <c r="J20" s="34" t="str">
        <f aca="false">IF(OR(B20&gt;='Model Settings'!$E$67,'Player Data'!BM20="Yes",I20="Alert"),"Suppress",IF(AND(B20&gt;='Model Settings'!$E$66,'Player Data'!G20="Yes"),"Review VIP","Allow"))</f>
        <v>Allow</v>
      </c>
      <c r="K20" s="50" t="n">
        <f aca="false">ROUND(100*((N('Player Data'!CH20)&gt;='Model Settings'!$E$52)*'Model Settings'!$F$52+(N('Player Data'!CI20)&gt;='Model Settings'!$E$53)*'Model Settings'!$F$53+(N('Player Data'!R20)&gt;='Model Settings'!$E$54)*'Model Settings'!$F$54+(N('Player Data'!Y20)&gt;='Model Settings'!$E$55)*'Model Settings'!$F$55+(N('Player Data'!AS20)&gt;='Model Settings'!$E$56)*'Model Settings'!$F$56)/('Model Settings'!$F$52+'Model Settings'!$F$53+'Model Settings'!$F$54+'Model Settings'!$F$55+'Model Settings'!$F$56),0)</f>
        <v>0</v>
      </c>
      <c r="L20" s="34" t="n">
        <f aca="false">IF('Player Data'!D20="Spain",ROUND(100*((N('Player Data'!H20)&gt;='Model Settings'!$E$57)*'Model Settings'!$F$57+(N('Player Data'!AI20)&gt;='Model Settings'!$E$58)*'Model Settings'!$F$58+(N('Player Data'!AL20)&gt;='Model Settings'!$E$59)*'Model Settings'!$F$59+(N('Player Data'!M20)&gt;='Model Settings'!$E$60)*'Model Settings'!$F$60+(N('Player Data'!X20)&lt;='Model Settings'!$E$61)*'Model Settings'!$F$61+(N('Player Data'!Y20)&gt;='Model Settings'!$E$62)*'Model Settings'!$F$62+(N('Player Data'!P20)&gt;='Model Settings'!$E$63)*'Model Settings'!$F$63)/('Model Settings'!$F$57+'Model Settings'!$F$58+'Model Settings'!$F$59+'Model Settings'!$F$60+'Model Settings'!$F$61+'Model Settings'!$F$62+'Model Settings'!$F$63),0),"n/a")</f>
        <v>0</v>
      </c>
      <c r="M20" s="34" t="str">
        <f aca="false">IF('Player Data'!CA20="None","No contact yet",IF('Player Data'!CA20="Improved","Working",IF('Player Data'!CA20="No change","Review approach","Escalate")))</f>
        <v>No contact yet</v>
      </c>
      <c r="N20" s="49" t="str">
        <f aca="false">IF(OR('Player Data'!BM20="Yes",I20="Alert"),"High",IF(B20&gt;='Model Settings'!$E$67,"High",IF(OR(B20&gt;='Model Settings'!$E$66,D20&gt;='Model Settings'!$E$68,F20&gt;='Model Settings'!$E$68,K20&gt;='Model Settings'!$E$68),"Medium","Low")))</f>
        <v>Low</v>
      </c>
      <c r="O20" s="34" t="str">
        <f aca="false">IF(N20="High","Contact player + review within 48h; stop marketing",IF(N20="Medium","Safer gambling message; monitor weekly","No action; routine monitoring"))</f>
        <v>No action; routine monitoring</v>
      </c>
      <c r="P20" s="34" t="n">
        <f aca="false">IF(OR(N20="High",AND('Model Settings'!$E$70="High+Medium",N20="Medium")),1,0)</f>
        <v>0</v>
      </c>
      <c r="Q20" s="34" t="n">
        <f aca="false">'Player Data'!CM20</f>
        <v>0</v>
      </c>
    </row>
    <row r="21" customFormat="false" ht="15" hidden="false" customHeight="false" outlineLevel="0" collapsed="false">
      <c r="A21" s="49" t="str">
        <f aca="false">'Player Data'!A21</f>
        <v>P016</v>
      </c>
      <c r="B21" s="50" t="n">
        <f aca="false">ROUND(100*((N('Player Data'!U21)&gt;='Model Settings'!$E$5)*'Model Settings'!$F$5+(N('Player Data'!AT21)&gt;='Model Settings'!$E$6)*'Model Settings'!$F$6+(N('Player Data'!BI21)&gt;='Model Settings'!$E$7)*'Model Settings'!$F$7+(N('Player Data'!AL21)&gt;='Model Settings'!$E$8)*'Model Settings'!$F$8+(N('Player Data'!AH21)&gt;='Model Settings'!$E$9)*'Model Settings'!$F$9+(N('Player Data'!B21)&lt;='Model Settings'!$E$10)*'Model Settings'!$F$10+(N('Player Data'!M21)&gt;='Model Settings'!$E$11)*'Model Settings'!$F$11+(N('Player Data'!J21)&lt;='Model Settings'!$E$12)*'Model Settings'!$F$12+(N('Player Data'!V21)&gt;='Model Settings'!$E$13)*'Model Settings'!$F$13+(N('Player Data'!W21)&gt;='Model Settings'!$E$14)*'Model Settings'!$F$14+(N('Player Data'!AE21)&gt;='Model Settings'!$E$15)*'Model Settings'!$F$15+(N('Player Data'!BF21)&gt;='Model Settings'!$E$16)*'Model Settings'!$F$16+(N('Player Data'!AX21)&gt;='Model Settings'!$E$17)*'Model Settings'!$F$17+(N('Player Data'!AP21)&gt;='Model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22</v>
      </c>
      <c r="C21" s="34" t="str">
        <f aca="false">IF('Player Data'!E21&lt;='Model Settings'!$E$69,ROUND(100*((N('Player Data'!H21)&gt;='Model Settings'!$E$19)*'Model Settings'!$F$19+(N('Player Data'!S21)&gt;='Model Settings'!$E$20)*'Model Settings'!$F$20+(N('Player Data'!AH21)&gt;='Model Settings'!$E$21)*'Model Settings'!$F$21+(N('Player Data'!AX21)&gt;='Model Settings'!$E$22)*'Model Settings'!$F$22+(N('Player Data'!Y21)&gt;='Model Settings'!$E$23)*'Model Settings'!$F$23+(N('Player Data'!AM21)&gt;='Model Settings'!$E$24)*'Model Settings'!$F$24)/('Model Settings'!$F$19+'Model Settings'!$F$20+'Model Settings'!$F$21+'Model Settings'!$F$22+'Model Settings'!$F$23+'Model Settings'!$F$24),0),"n/a")</f>
        <v>n/a</v>
      </c>
      <c r="D21" s="50" t="n">
        <f aca="false">ROUND(100*((N('Player Data'!U21)&gt;='Model Settings'!$E$25)*'Model Settings'!$F$25+(N('Player Data'!V21)&gt;='Model Settings'!$E$26)*'Model Settings'!$F$26+(N('Player Data'!W21)&gt;='Model Settings'!$E$27)*'Model Settings'!$F$27+(N('Player Data'!AT21)&gt;='Model Settings'!$E$28)*'Model Settings'!$F$28+(N('Player Data'!AE21)&gt;='Model Settings'!$E$29)*'Model Settings'!$F$29+(N('Player Data'!AO21)&gt;='Model Settings'!$E$30)*'Model Settings'!$F$30+(N('Player Data'!AG21)&gt;='Model Settings'!$E$31)*'Model Settings'!$F$31)/('Model Settings'!$F$25+'Model Settings'!$F$26+'Model Settings'!$F$27+'Model Settings'!$F$28+'Model Settings'!$F$29+'Model Settings'!$F$30+'Model Settings'!$F$31),0)</f>
        <v>43</v>
      </c>
      <c r="E21" s="50" t="n">
        <f aca="false">ROUND(100*((N('Player Data'!Z21)&gt;='Model Settings'!$E$32)*'Model Settings'!$F$32+(N('Player Data'!BN21)&gt;='Model Settings'!$E$33)*'Model Settings'!$F$33+(N('Player Data'!BO21)&gt;='Model Settings'!$E$34)*'Model Settings'!$F$34+(N('Player Data'!BP21)&gt;='Model Settings'!$E$35)*'Model Settings'!$F$35+('Player Data'!BR21='Model Settings'!$E$36)*'Model Settings'!$F$36+(N('Player Data'!AW21)&gt;='Model Settings'!$E$37)*'Model Settings'!$F$37+(N('Player Data'!AF21)&lt;='Model Settings'!$E$38)*'Model Settings'!$F$38)/('Model Settings'!$F$32+'Model Settings'!$F$33+'Model Settings'!$F$34+'Model Settings'!$F$35+'Model Settings'!$F$36+'Model Settings'!$F$37+'Model Settings'!$F$38),0)</f>
        <v>43</v>
      </c>
      <c r="F21" s="50" t="n">
        <f aca="false">ROUND(100*((N('Player Data'!K21)&gt;='Model Settings'!$E$39)*'Model Settings'!$F$39+(N('Player Data'!P21)&gt;='Model Settings'!$E$40)*'Model Settings'!$F$40+(N('Player Data'!M21)&gt;='Model Settings'!$E$41)*'Model Settings'!$F$41+(N('Player Data'!AU21)&gt;='Model Settings'!$E$42)*'Model Settings'!$F$42+(N('Player Data'!CL21)&gt;='Model Settings'!$E$43)*'Model Settings'!$F$43+(N('Player Data'!Q21)&gt;='Model Settings'!$E$44)*'Model Settings'!$F$44)/('Model Settings'!$F$39+'Model Settings'!$F$40+'Model Settings'!$F$41+'Model Settings'!$F$42+'Model Settings'!$F$43+'Model Settings'!$F$44),0)</f>
        <v>67</v>
      </c>
      <c r="G21" s="50" t="n">
        <f aca="false">ROUND(100*((N('Player Data'!BE21)&gt;='Model Settings'!$E$45)*'Model Settings'!$F$45+(N('Player Data'!BH21)&gt;='Model Settings'!$E$46)*'Model Settings'!$F$46+(N('Player Data'!U21)&gt;='Model Settings'!$E$47)*'Model Settings'!$F$47+(N('Player Data'!BN21)&gt;='Model Settings'!$E$48)*'Model Settings'!$F$48+(N('Player Data'!AX21)&gt;='Model Settings'!$E$49)*'Model Settings'!$F$49+(N('Player Data'!BL21)&gt;='Model Settings'!$E$50)*'Model Settings'!$F$50+(N('Player Data'!BI21)&gt;='Model Settings'!$E$51)*'Model Settings'!$F$51)/('Model Settings'!$F$45+'Model Settings'!$F$46+'Model Settings'!$F$47+'Model Settings'!$F$48+'Model Settings'!$F$49+'Model Settings'!$F$50+'Model Settings'!$F$51),0)</f>
        <v>43</v>
      </c>
      <c r="H21" s="34" t="str">
        <f aca="false">IF(AND(B21&lt;'Model Settings'!$E$66,E21&lt;'Model Settings'!$E$68),"Non-problem",IF(E21&gt;='Model Settings'!$E$68,"Financially vulnerable",IF(OR(N('Player Data'!BY21)&gt;=1,N('Player Data'!BX21)&gt;=2,N('Player Data'!BW21)&gt;=3),"Emotionally vulnerable","At-risk")))</f>
        <v>Emotionally vulnerable</v>
      </c>
      <c r="I21" s="34" t="str">
        <f aca="false">IF(OR(N('Player Data'!BY21)&gt;=1,'Player Data'!BZ21="Yes"),"Alert","None")</f>
        <v>None</v>
      </c>
      <c r="J21" s="34" t="str">
        <f aca="false">IF(OR(B21&gt;='Model Settings'!$E$67,'Player Data'!BM21="Yes",I21="Alert"),"Suppress",IF(AND(B21&gt;='Model Settings'!$E$66,'Player Data'!G21="Yes"),"Review VIP","Allow"))</f>
        <v>Allow</v>
      </c>
      <c r="K21" s="50" t="n">
        <f aca="false">ROUND(100*((N('Player Data'!CH21)&gt;='Model Settings'!$E$52)*'Model Settings'!$F$52+(N('Player Data'!CI21)&gt;='Model Settings'!$E$53)*'Model Settings'!$F$53+(N('Player Data'!R21)&gt;='Model Settings'!$E$54)*'Model Settings'!$F$54+(N('Player Data'!Y21)&gt;='Model Settings'!$E$55)*'Model Settings'!$F$55+(N('Player Data'!AS21)&gt;='Model Settings'!$E$56)*'Model Settings'!$F$56)/('Model Settings'!$F$52+'Model Settings'!$F$53+'Model Settings'!$F$54+'Model Settings'!$F$55+'Model Settings'!$F$56),0)</f>
        <v>60</v>
      </c>
      <c r="L21" s="34" t="str">
        <f aca="false">IF('Player Data'!D21="Spain",ROUND(100*((N('Player Data'!H21)&gt;='Model Settings'!$E$57)*'Model Settings'!$F$57+(N('Player Data'!AI21)&gt;='Model Settings'!$E$58)*'Model Settings'!$F$58+(N('Player Data'!AL21)&gt;='Model Settings'!$E$59)*'Model Settings'!$F$59+(N('Player Data'!M21)&gt;='Model Settings'!$E$60)*'Model Settings'!$F$60+(N('Player Data'!X21)&lt;='Model Settings'!$E$61)*'Model Settings'!$F$61+(N('Player Data'!Y21)&gt;='Model Settings'!$E$62)*'Model Settings'!$F$62+(N('Player Data'!P21)&gt;='Model Settings'!$E$63)*'Model Settings'!$F$63)/('Model Settings'!$F$57+'Model Settings'!$F$58+'Model Settings'!$F$59+'Model Settings'!$F$60+'Model Settings'!$F$61+'Model Settings'!$F$62+'Model Settings'!$F$63),0),"n/a")</f>
        <v>n/a</v>
      </c>
      <c r="M21" s="34" t="str">
        <f aca="false">IF('Player Data'!CA21="None","No contact yet",IF('Player Data'!CA21="Improved","Working",IF('Player Data'!CA21="No change","Review approach","Escalate")))</f>
        <v>Review approach</v>
      </c>
      <c r="N21" s="49" t="str">
        <f aca="false">IF(OR('Player Data'!BM21="Yes",I21="Alert"),"High",IF(B21&gt;='Model Settings'!$E$67,"High",IF(OR(B21&gt;='Model Settings'!$E$66,D21&gt;='Model Settings'!$E$68,F21&gt;='Model Settings'!$E$68,K21&gt;='Model Settings'!$E$68),"Medium","Low")))</f>
        <v>Medium</v>
      </c>
      <c r="O21" s="34" t="str">
        <f aca="false">IF(N21="High","Contact player + review within 48h; stop marketing",IF(N21="Medium","Safer gambling message; monitor weekly","No action; routine monitoring"))</f>
        <v>Safer gambling message; monitor weekly</v>
      </c>
      <c r="P21" s="34" t="n">
        <f aca="false">IF(OR(N21="High",AND('Model Settings'!$E$70="High+Medium",N21="Medium")),1,0)</f>
        <v>0</v>
      </c>
      <c r="Q21" s="34" t="n">
        <f aca="false">'Player Data'!CM21</f>
        <v>0</v>
      </c>
    </row>
    <row r="22" customFormat="false" ht="15" hidden="false" customHeight="false" outlineLevel="0" collapsed="false">
      <c r="A22" s="49" t="str">
        <f aca="false">'Player Data'!A22</f>
        <v>P017</v>
      </c>
      <c r="B22" s="50" t="n">
        <f aca="false">ROUND(100*((N('Player Data'!U22)&gt;='Model Settings'!$E$5)*'Model Settings'!$F$5+(N('Player Data'!AT22)&gt;='Model Settings'!$E$6)*'Model Settings'!$F$6+(N('Player Data'!BI22)&gt;='Model Settings'!$E$7)*'Model Settings'!$F$7+(N('Player Data'!AL22)&gt;='Model Settings'!$E$8)*'Model Settings'!$F$8+(N('Player Data'!AH22)&gt;='Model Settings'!$E$9)*'Model Settings'!$F$9+(N('Player Data'!B22)&lt;='Model Settings'!$E$10)*'Model Settings'!$F$10+(N('Player Data'!M22)&gt;='Model Settings'!$E$11)*'Model Settings'!$F$11+(N('Player Data'!J22)&lt;='Model Settings'!$E$12)*'Model Settings'!$F$12+(N('Player Data'!V22)&gt;='Model Settings'!$E$13)*'Model Settings'!$F$13+(N('Player Data'!W22)&gt;='Model Settings'!$E$14)*'Model Settings'!$F$14+(N('Player Data'!AE22)&gt;='Model Settings'!$E$15)*'Model Settings'!$F$15+(N('Player Data'!BF22)&gt;='Model Settings'!$E$16)*'Model Settings'!$F$16+(N('Player Data'!AX22)&gt;='Model Settings'!$E$17)*'Model Settings'!$F$17+(N('Player Data'!AP22)&gt;='Model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2" s="34" t="str">
        <f aca="false">IF('Player Data'!E22&lt;='Model Settings'!$E$69,ROUND(100*((N('Player Data'!H22)&gt;='Model Settings'!$E$19)*'Model Settings'!$F$19+(N('Player Data'!S22)&gt;='Model Settings'!$E$20)*'Model Settings'!$F$20+(N('Player Data'!AH22)&gt;='Model Settings'!$E$21)*'Model Settings'!$F$21+(N('Player Data'!AX22)&gt;='Model Settings'!$E$22)*'Model Settings'!$F$22+(N('Player Data'!Y22)&gt;='Model Settings'!$E$23)*'Model Settings'!$F$23+(N('Player Data'!AM22)&gt;='Model Settings'!$E$24)*'Model Settings'!$F$24)/('Model Settings'!$F$19+'Model Settings'!$F$20+'Model Settings'!$F$21+'Model Settings'!$F$22+'Model Settings'!$F$23+'Model Settings'!$F$24),0),"n/a")</f>
        <v>n/a</v>
      </c>
      <c r="D22" s="50" t="n">
        <f aca="false">ROUND(100*((N('Player Data'!U22)&gt;='Model Settings'!$E$25)*'Model Settings'!$F$25+(N('Player Data'!V22)&gt;='Model Settings'!$E$26)*'Model Settings'!$F$26+(N('Player Data'!W22)&gt;='Model Settings'!$E$27)*'Model Settings'!$F$27+(N('Player Data'!AT22)&gt;='Model Settings'!$E$28)*'Model Settings'!$F$28+(N('Player Data'!AE22)&gt;='Model Settings'!$E$29)*'Model Settings'!$F$29+(N('Player Data'!AO22)&gt;='Model Settings'!$E$30)*'Model Settings'!$F$30+(N('Player Data'!AG22)&gt;='Model Settings'!$E$31)*'Model Settings'!$F$31)/('Model Settings'!$F$25+'Model Settings'!$F$26+'Model Settings'!$F$27+'Model Settings'!$F$28+'Model Settings'!$F$29+'Model Settings'!$F$30+'Model Settings'!$F$31),0)</f>
        <v>0</v>
      </c>
      <c r="E22" s="50" t="n">
        <f aca="false">ROUND(100*((N('Player Data'!Z22)&gt;='Model Settings'!$E$32)*'Model Settings'!$F$32+(N('Player Data'!BN22)&gt;='Model Settings'!$E$33)*'Model Settings'!$F$33+(N('Player Data'!BO22)&gt;='Model Settings'!$E$34)*'Model Settings'!$F$34+(N('Player Data'!BP22)&gt;='Model Settings'!$E$35)*'Model Settings'!$F$35+('Player Data'!BR22='Model Settings'!$E$36)*'Model Settings'!$F$36+(N('Player Data'!AW22)&gt;='Model Settings'!$E$37)*'Model Settings'!$F$37+(N('Player Data'!AF22)&lt;='Model Settings'!$E$38)*'Model Settings'!$F$38)/('Model Settings'!$F$32+'Model Settings'!$F$33+'Model Settings'!$F$34+'Model Settings'!$F$35+'Model Settings'!$F$36+'Model Settings'!$F$37+'Model Settings'!$F$38),0)</f>
        <v>0</v>
      </c>
      <c r="F22" s="50" t="n">
        <f aca="false">ROUND(100*((N('Player Data'!K22)&gt;='Model Settings'!$E$39)*'Model Settings'!$F$39+(N('Player Data'!P22)&gt;='Model Settings'!$E$40)*'Model Settings'!$F$40+(N('Player Data'!M22)&gt;='Model Settings'!$E$41)*'Model Settings'!$F$41+(N('Player Data'!AU22)&gt;='Model Settings'!$E$42)*'Model Settings'!$F$42+(N('Player Data'!CL22)&gt;='Model Settings'!$E$43)*'Model Settings'!$F$43+(N('Player Data'!Q22)&gt;='Model Settings'!$E$44)*'Model Settings'!$F$44)/('Model Settings'!$F$39+'Model Settings'!$F$40+'Model Settings'!$F$41+'Model Settings'!$F$42+'Model Settings'!$F$43+'Model Settings'!$F$44),0)</f>
        <v>0</v>
      </c>
      <c r="G22" s="50" t="n">
        <f aca="false">ROUND(100*((N('Player Data'!BE22)&gt;='Model Settings'!$E$45)*'Model Settings'!$F$45+(N('Player Data'!BH22)&gt;='Model Settings'!$E$46)*'Model Settings'!$F$46+(N('Player Data'!U22)&gt;='Model Settings'!$E$47)*'Model Settings'!$F$47+(N('Player Data'!BN22)&gt;='Model Settings'!$E$48)*'Model Settings'!$F$48+(N('Player Data'!AX22)&gt;='Model Settings'!$E$49)*'Model Settings'!$F$49+(N('Player Data'!BL22)&gt;='Model Settings'!$E$50)*'Model Settings'!$F$50+(N('Player Data'!BI22)&gt;='Model Settings'!$E$51)*'Model Settings'!$F$51)/('Model Settings'!$F$45+'Model Settings'!$F$46+'Model Settings'!$F$47+'Model Settings'!$F$48+'Model Settings'!$F$49+'Model Settings'!$F$50+'Model Settings'!$F$51),0)</f>
        <v>0</v>
      </c>
      <c r="H22" s="34" t="str">
        <f aca="false">IF(AND(B22&lt;'Model Settings'!$E$66,E22&lt;'Model Settings'!$E$68),"Non-problem",IF(E22&gt;='Model Settings'!$E$68,"Financially vulnerable",IF(OR(N('Player Data'!BY22)&gt;=1,N('Player Data'!BX22)&gt;=2,N('Player Data'!BW22)&gt;=3),"Emotionally vulnerable","At-risk")))</f>
        <v>Non-problem</v>
      </c>
      <c r="I22" s="34" t="str">
        <f aca="false">IF(OR(N('Player Data'!BY22)&gt;=1,'Player Data'!BZ22="Yes"),"Alert","None")</f>
        <v>None</v>
      </c>
      <c r="J22" s="34" t="str">
        <f aca="false">IF(OR(B22&gt;='Model Settings'!$E$67,'Player Data'!BM22="Yes",I22="Alert"),"Suppress",IF(AND(B22&gt;='Model Settings'!$E$66,'Player Data'!G22="Yes"),"Review VIP","Allow"))</f>
        <v>Allow</v>
      </c>
      <c r="K22" s="50" t="n">
        <f aca="false">ROUND(100*((N('Player Data'!CH22)&gt;='Model Settings'!$E$52)*'Model Settings'!$F$52+(N('Player Data'!CI22)&gt;='Model Settings'!$E$53)*'Model Settings'!$F$53+(N('Player Data'!R22)&gt;='Model Settings'!$E$54)*'Model Settings'!$F$54+(N('Player Data'!Y22)&gt;='Model Settings'!$E$55)*'Model Settings'!$F$55+(N('Player Data'!AS22)&gt;='Model Settings'!$E$56)*'Model Settings'!$F$56)/('Model Settings'!$F$52+'Model Settings'!$F$53+'Model Settings'!$F$54+'Model Settings'!$F$55+'Model Settings'!$F$56),0)</f>
        <v>0</v>
      </c>
      <c r="L22" s="34" t="str">
        <f aca="false">IF('Player Data'!D22="Spain",ROUND(100*((N('Player Data'!H22)&gt;='Model Settings'!$E$57)*'Model Settings'!$F$57+(N('Player Data'!AI22)&gt;='Model Settings'!$E$58)*'Model Settings'!$F$58+(N('Player Data'!AL22)&gt;='Model Settings'!$E$59)*'Model Settings'!$F$59+(N('Player Data'!M22)&gt;='Model Settings'!$E$60)*'Model Settings'!$F$60+(N('Player Data'!X22)&lt;='Model Settings'!$E$61)*'Model Settings'!$F$61+(N('Player Data'!Y22)&gt;='Model Settings'!$E$62)*'Model Settings'!$F$62+(N('Player Data'!P22)&gt;='Model Settings'!$E$63)*'Model Settings'!$F$63)/('Model Settings'!$F$57+'Model Settings'!$F$58+'Model Settings'!$F$59+'Model Settings'!$F$60+'Model Settings'!$F$61+'Model Settings'!$F$62+'Model Settings'!$F$63),0),"n/a")</f>
        <v>n/a</v>
      </c>
      <c r="M22" s="34" t="str">
        <f aca="false">IF('Player Data'!CA22="None","No contact yet",IF('Player Data'!CA22="Improved","Working",IF('Player Data'!CA22="No change","Review approach","Escalate")))</f>
        <v>No contact yet</v>
      </c>
      <c r="N22" s="49" t="str">
        <f aca="false">IF(OR('Player Data'!BM22="Yes",I22="Alert"),"High",IF(B22&gt;='Model Settings'!$E$67,"High",IF(OR(B22&gt;='Model Settings'!$E$66,D22&gt;='Model Settings'!$E$68,F22&gt;='Model Settings'!$E$68,K22&gt;='Model Settings'!$E$68),"Medium","Low")))</f>
        <v>Low</v>
      </c>
      <c r="O22" s="34" t="str">
        <f aca="false">IF(N22="High","Contact player + review within 48h; stop marketing",IF(N22="Medium","Safer gambling message; monitor weekly","No action; routine monitoring"))</f>
        <v>No action; routine monitoring</v>
      </c>
      <c r="P22" s="34" t="n">
        <f aca="false">IF(OR(N22="High",AND('Model Settings'!$E$70="High+Medium",N22="Medium")),1,0)</f>
        <v>0</v>
      </c>
      <c r="Q22" s="34" t="n">
        <f aca="false">'Player Data'!CM22</f>
        <v>0</v>
      </c>
    </row>
    <row r="23" customFormat="false" ht="15" hidden="false" customHeight="false" outlineLevel="0" collapsed="false">
      <c r="A23" s="49" t="str">
        <f aca="false">'Player Data'!A23</f>
        <v>P018</v>
      </c>
      <c r="B23" s="50" t="n">
        <f aca="false">ROUND(100*((N('Player Data'!U23)&gt;='Model Settings'!$E$5)*'Model Settings'!$F$5+(N('Player Data'!AT23)&gt;='Model Settings'!$E$6)*'Model Settings'!$F$6+(N('Player Data'!BI23)&gt;='Model Settings'!$E$7)*'Model Settings'!$F$7+(N('Player Data'!AL23)&gt;='Model Settings'!$E$8)*'Model Settings'!$F$8+(N('Player Data'!AH23)&gt;='Model Settings'!$E$9)*'Model Settings'!$F$9+(N('Player Data'!B23)&lt;='Model Settings'!$E$10)*'Model Settings'!$F$10+(N('Player Data'!M23)&gt;='Model Settings'!$E$11)*'Model Settings'!$F$11+(N('Player Data'!J23)&lt;='Model Settings'!$E$12)*'Model Settings'!$F$12+(N('Player Data'!V23)&gt;='Model Settings'!$E$13)*'Model Settings'!$F$13+(N('Player Data'!W23)&gt;='Model Settings'!$E$14)*'Model Settings'!$F$14+(N('Player Data'!AE23)&gt;='Model Settings'!$E$15)*'Model Settings'!$F$15+(N('Player Data'!BF23)&gt;='Model Settings'!$E$16)*'Model Settings'!$F$16+(N('Player Data'!AX23)&gt;='Model Settings'!$E$17)*'Model Settings'!$F$17+(N('Player Data'!AP23)&gt;='Model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3" s="34" t="str">
        <f aca="false">IF('Player Data'!E23&lt;='Model Settings'!$E$69,ROUND(100*((N('Player Data'!H23)&gt;='Model Settings'!$E$19)*'Model Settings'!$F$19+(N('Player Data'!S23)&gt;='Model Settings'!$E$20)*'Model Settings'!$F$20+(N('Player Data'!AH23)&gt;='Model Settings'!$E$21)*'Model Settings'!$F$21+(N('Player Data'!AX23)&gt;='Model Settings'!$E$22)*'Model Settings'!$F$22+(N('Player Data'!Y23)&gt;='Model Settings'!$E$23)*'Model Settings'!$F$23+(N('Player Data'!AM23)&gt;='Model Settings'!$E$24)*'Model Settings'!$F$24)/('Model Settings'!$F$19+'Model Settings'!$F$20+'Model Settings'!$F$21+'Model Settings'!$F$22+'Model Settings'!$F$23+'Model Settings'!$F$24),0),"n/a")</f>
        <v>n/a</v>
      </c>
      <c r="D23" s="50" t="n">
        <f aca="false">ROUND(100*((N('Player Data'!U23)&gt;='Model Settings'!$E$25)*'Model Settings'!$F$25+(N('Player Data'!V23)&gt;='Model Settings'!$E$26)*'Model Settings'!$F$26+(N('Player Data'!W23)&gt;='Model Settings'!$E$27)*'Model Settings'!$F$27+(N('Player Data'!AT23)&gt;='Model Settings'!$E$28)*'Model Settings'!$F$28+(N('Player Data'!AE23)&gt;='Model Settings'!$E$29)*'Model Settings'!$F$29+(N('Player Data'!AO23)&gt;='Model Settings'!$E$30)*'Model Settings'!$F$30+(N('Player Data'!AG23)&gt;='Model Settings'!$E$31)*'Model Settings'!$F$31)/('Model Settings'!$F$25+'Model Settings'!$F$26+'Model Settings'!$F$27+'Model Settings'!$F$28+'Model Settings'!$F$29+'Model Settings'!$F$30+'Model Settings'!$F$31),0)</f>
        <v>14</v>
      </c>
      <c r="E23" s="50" t="n">
        <f aca="false">ROUND(100*((N('Player Data'!Z23)&gt;='Model Settings'!$E$32)*'Model Settings'!$F$32+(N('Player Data'!BN23)&gt;='Model Settings'!$E$33)*'Model Settings'!$F$33+(N('Player Data'!BO23)&gt;='Model Settings'!$E$34)*'Model Settings'!$F$34+(N('Player Data'!BP23)&gt;='Model Settings'!$E$35)*'Model Settings'!$F$35+('Player Data'!BR23='Model Settings'!$E$36)*'Model Settings'!$F$36+(N('Player Data'!AW23)&gt;='Model Settings'!$E$37)*'Model Settings'!$F$37+(N('Player Data'!AF23)&lt;='Model Settings'!$E$38)*'Model Settings'!$F$38)/('Model Settings'!$F$32+'Model Settings'!$F$33+'Model Settings'!$F$34+'Model Settings'!$F$35+'Model Settings'!$F$36+'Model Settings'!$F$37+'Model Settings'!$F$38),0)</f>
        <v>0</v>
      </c>
      <c r="F23" s="50" t="n">
        <f aca="false">ROUND(100*((N('Player Data'!K23)&gt;='Model Settings'!$E$39)*'Model Settings'!$F$39+(N('Player Data'!P23)&gt;='Model Settings'!$E$40)*'Model Settings'!$F$40+(N('Player Data'!M23)&gt;='Model Settings'!$E$41)*'Model Settings'!$F$41+(N('Player Data'!AU23)&gt;='Model Settings'!$E$42)*'Model Settings'!$F$42+(N('Player Data'!CL23)&gt;='Model Settings'!$E$43)*'Model Settings'!$F$43+(N('Player Data'!Q23)&gt;='Model Settings'!$E$44)*'Model Settings'!$F$44)/('Model Settings'!$F$39+'Model Settings'!$F$40+'Model Settings'!$F$41+'Model Settings'!$F$42+'Model Settings'!$F$43+'Model Settings'!$F$44),0)</f>
        <v>0</v>
      </c>
      <c r="G23" s="50" t="n">
        <f aca="false">ROUND(100*((N('Player Data'!BE23)&gt;='Model Settings'!$E$45)*'Model Settings'!$F$45+(N('Player Data'!BH23)&gt;='Model Settings'!$E$46)*'Model Settings'!$F$46+(N('Player Data'!U23)&gt;='Model Settings'!$E$47)*'Model Settings'!$F$47+(N('Player Data'!BN23)&gt;='Model Settings'!$E$48)*'Model Settings'!$F$48+(N('Player Data'!AX23)&gt;='Model Settings'!$E$49)*'Model Settings'!$F$49+(N('Player Data'!BL23)&gt;='Model Settings'!$E$50)*'Model Settings'!$F$50+(N('Player Data'!BI23)&gt;='Model Settings'!$E$51)*'Model Settings'!$F$51)/('Model Settings'!$F$45+'Model Settings'!$F$46+'Model Settings'!$F$47+'Model Settings'!$F$48+'Model Settings'!$F$49+'Model Settings'!$F$50+'Model Settings'!$F$51),0)</f>
        <v>0</v>
      </c>
      <c r="H23" s="34" t="str">
        <f aca="false">IF(AND(B23&lt;'Model Settings'!$E$66,E23&lt;'Model Settings'!$E$68),"Non-problem",IF(E23&gt;='Model Settings'!$E$68,"Financially vulnerable",IF(OR(N('Player Data'!BY23)&gt;=1,N('Player Data'!BX23)&gt;=2,N('Player Data'!BW23)&gt;=3),"Emotionally vulnerable","At-risk")))</f>
        <v>Non-problem</v>
      </c>
      <c r="I23" s="34" t="str">
        <f aca="false">IF(OR(N('Player Data'!BY23)&gt;=1,'Player Data'!BZ23="Yes"),"Alert","None")</f>
        <v>None</v>
      </c>
      <c r="J23" s="34" t="str">
        <f aca="false">IF(OR(B23&gt;='Model Settings'!$E$67,'Player Data'!BM23="Yes",I23="Alert"),"Suppress",IF(AND(B23&gt;='Model Settings'!$E$66,'Player Data'!G23="Yes"),"Review VIP","Allow"))</f>
        <v>Allow</v>
      </c>
      <c r="K23" s="50" t="n">
        <f aca="false">ROUND(100*((N('Player Data'!CH23)&gt;='Model Settings'!$E$52)*'Model Settings'!$F$52+(N('Player Data'!CI23)&gt;='Model Settings'!$E$53)*'Model Settings'!$F$53+(N('Player Data'!R23)&gt;='Model Settings'!$E$54)*'Model Settings'!$F$54+(N('Player Data'!Y23)&gt;='Model Settings'!$E$55)*'Model Settings'!$F$55+(N('Player Data'!AS23)&gt;='Model Settings'!$E$56)*'Model Settings'!$F$56)/('Model Settings'!$F$52+'Model Settings'!$F$53+'Model Settings'!$F$54+'Model Settings'!$F$55+'Model Settings'!$F$56),0)</f>
        <v>0</v>
      </c>
      <c r="L23" s="34" t="str">
        <f aca="false">IF('Player Data'!D23="Spain",ROUND(100*((N('Player Data'!H23)&gt;='Model Settings'!$E$57)*'Model Settings'!$F$57+(N('Player Data'!AI23)&gt;='Model Settings'!$E$58)*'Model Settings'!$F$58+(N('Player Data'!AL23)&gt;='Model Settings'!$E$59)*'Model Settings'!$F$59+(N('Player Data'!M23)&gt;='Model Settings'!$E$60)*'Model Settings'!$F$60+(N('Player Data'!X23)&lt;='Model Settings'!$E$61)*'Model Settings'!$F$61+(N('Player Data'!Y23)&gt;='Model Settings'!$E$62)*'Model Settings'!$F$62+(N('Player Data'!P23)&gt;='Model Settings'!$E$63)*'Model Settings'!$F$63)/('Model Settings'!$F$57+'Model Settings'!$F$58+'Model Settings'!$F$59+'Model Settings'!$F$60+'Model Settings'!$F$61+'Model Settings'!$F$62+'Model Settings'!$F$63),0),"n/a")</f>
        <v>n/a</v>
      </c>
      <c r="M23" s="34" t="str">
        <f aca="false">IF('Player Data'!CA23="None","No contact yet",IF('Player Data'!CA23="Improved","Working",IF('Player Data'!CA23="No change","Review approach","Escalate")))</f>
        <v>Working</v>
      </c>
      <c r="N23" s="49" t="str">
        <f aca="false">IF(OR('Player Data'!BM23="Yes",I23="Alert"),"High",IF(B23&gt;='Model Settings'!$E$67,"High",IF(OR(B23&gt;='Model Settings'!$E$66,D23&gt;='Model Settings'!$E$68,F23&gt;='Model Settings'!$E$68,K23&gt;='Model Settings'!$E$68),"Medium","Low")))</f>
        <v>Low</v>
      </c>
      <c r="O23" s="34" t="str">
        <f aca="false">IF(N23="High","Contact player + review within 48h; stop marketing",IF(N23="Medium","Safer gambling message; monitor weekly","No action; routine monitoring"))</f>
        <v>No action; routine monitoring</v>
      </c>
      <c r="P23" s="34" t="n">
        <f aca="false">IF(OR(N23="High",AND('Model Settings'!$E$70="High+Medium",N23="Medium")),1,0)</f>
        <v>0</v>
      </c>
      <c r="Q23" s="34" t="n">
        <f aca="false">'Player Data'!CM23</f>
        <v>1</v>
      </c>
    </row>
    <row r="24" customFormat="false" ht="15" hidden="false" customHeight="false" outlineLevel="0" collapsed="false">
      <c r="A24" s="49" t="str">
        <f aca="false">'Player Data'!A24</f>
        <v>P019</v>
      </c>
      <c r="B24" s="50" t="n">
        <f aca="false">ROUND(100*((N('Player Data'!U24)&gt;='Model Settings'!$E$5)*'Model Settings'!$F$5+(N('Player Data'!AT24)&gt;='Model Settings'!$E$6)*'Model Settings'!$F$6+(N('Player Data'!BI24)&gt;='Model Settings'!$E$7)*'Model Settings'!$F$7+(N('Player Data'!AL24)&gt;='Model Settings'!$E$8)*'Model Settings'!$F$8+(N('Player Data'!AH24)&gt;='Model Settings'!$E$9)*'Model Settings'!$F$9+(N('Player Data'!B24)&lt;='Model Settings'!$E$10)*'Model Settings'!$F$10+(N('Player Data'!M24)&gt;='Model Settings'!$E$11)*'Model Settings'!$F$11+(N('Player Data'!J24)&lt;='Model Settings'!$E$12)*'Model Settings'!$F$12+(N('Player Data'!V24)&gt;='Model Settings'!$E$13)*'Model Settings'!$F$13+(N('Player Data'!W24)&gt;='Model Settings'!$E$14)*'Model Settings'!$F$14+(N('Player Data'!AE24)&gt;='Model Settings'!$E$15)*'Model Settings'!$F$15+(N('Player Data'!BF24)&gt;='Model Settings'!$E$16)*'Model Settings'!$F$16+(N('Player Data'!AX24)&gt;='Model Settings'!$E$17)*'Model Settings'!$F$17+(N('Player Data'!AP24)&gt;='Model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4" s="34" t="str">
        <f aca="false">IF('Player Data'!E24&lt;='Model Settings'!$E$69,ROUND(100*((N('Player Data'!H24)&gt;='Model Settings'!$E$19)*'Model Settings'!$F$19+(N('Player Data'!S24)&gt;='Model Settings'!$E$20)*'Model Settings'!$F$20+(N('Player Data'!AH24)&gt;='Model Settings'!$E$21)*'Model Settings'!$F$21+(N('Player Data'!AX24)&gt;='Model Settings'!$E$22)*'Model Settings'!$F$22+(N('Player Data'!Y24)&gt;='Model Settings'!$E$23)*'Model Settings'!$F$23+(N('Player Data'!AM24)&gt;='Model Settings'!$E$24)*'Model Settings'!$F$24)/('Model Settings'!$F$19+'Model Settings'!$F$20+'Model Settings'!$F$21+'Model Settings'!$F$22+'Model Settings'!$F$23+'Model Settings'!$F$24),0),"n/a")</f>
        <v>n/a</v>
      </c>
      <c r="D24" s="50" t="n">
        <f aca="false">ROUND(100*((N('Player Data'!U24)&gt;='Model Settings'!$E$25)*'Model Settings'!$F$25+(N('Player Data'!V24)&gt;='Model Settings'!$E$26)*'Model Settings'!$F$26+(N('Player Data'!W24)&gt;='Model Settings'!$E$27)*'Model Settings'!$F$27+(N('Player Data'!AT24)&gt;='Model Settings'!$E$28)*'Model Settings'!$F$28+(N('Player Data'!AE24)&gt;='Model Settings'!$E$29)*'Model Settings'!$F$29+(N('Player Data'!AO24)&gt;='Model Settings'!$E$30)*'Model Settings'!$F$30+(N('Player Data'!AG24)&gt;='Model Settings'!$E$31)*'Model Settings'!$F$31)/('Model Settings'!$F$25+'Model Settings'!$F$26+'Model Settings'!$F$27+'Model Settings'!$F$28+'Model Settings'!$F$29+'Model Settings'!$F$30+'Model Settings'!$F$31),0)</f>
        <v>14</v>
      </c>
      <c r="E24" s="50" t="n">
        <f aca="false">ROUND(100*((N('Player Data'!Z24)&gt;='Model Settings'!$E$32)*'Model Settings'!$F$32+(N('Player Data'!BN24)&gt;='Model Settings'!$E$33)*'Model Settings'!$F$33+(N('Player Data'!BO24)&gt;='Model Settings'!$E$34)*'Model Settings'!$F$34+(N('Player Data'!BP24)&gt;='Model Settings'!$E$35)*'Model Settings'!$F$35+('Player Data'!BR24='Model Settings'!$E$36)*'Model Settings'!$F$36+(N('Player Data'!AW24)&gt;='Model Settings'!$E$37)*'Model Settings'!$F$37+(N('Player Data'!AF24)&lt;='Model Settings'!$E$38)*'Model Settings'!$F$38)/('Model Settings'!$F$32+'Model Settings'!$F$33+'Model Settings'!$F$34+'Model Settings'!$F$35+'Model Settings'!$F$36+'Model Settings'!$F$37+'Model Settings'!$F$38),0)</f>
        <v>14</v>
      </c>
      <c r="F24" s="50" t="n">
        <f aca="false">ROUND(100*((N('Player Data'!K24)&gt;='Model Settings'!$E$39)*'Model Settings'!$F$39+(N('Player Data'!P24)&gt;='Model Settings'!$E$40)*'Model Settings'!$F$40+(N('Player Data'!M24)&gt;='Model Settings'!$E$41)*'Model Settings'!$F$41+(N('Player Data'!AU24)&gt;='Model Settings'!$E$42)*'Model Settings'!$F$42+(N('Player Data'!CL24)&gt;='Model Settings'!$E$43)*'Model Settings'!$F$43+(N('Player Data'!Q24)&gt;='Model Settings'!$E$44)*'Model Settings'!$F$44)/('Model Settings'!$F$39+'Model Settings'!$F$40+'Model Settings'!$F$41+'Model Settings'!$F$42+'Model Settings'!$F$43+'Model Settings'!$F$44),0)</f>
        <v>33</v>
      </c>
      <c r="G24" s="50" t="n">
        <f aca="false">ROUND(100*((N('Player Data'!BE24)&gt;='Model Settings'!$E$45)*'Model Settings'!$F$45+(N('Player Data'!BH24)&gt;='Model Settings'!$E$46)*'Model Settings'!$F$46+(N('Player Data'!U24)&gt;='Model Settings'!$E$47)*'Model Settings'!$F$47+(N('Player Data'!BN24)&gt;='Model Settings'!$E$48)*'Model Settings'!$F$48+(N('Player Data'!AX24)&gt;='Model Settings'!$E$49)*'Model Settings'!$F$49+(N('Player Data'!BL24)&gt;='Model Settings'!$E$50)*'Model Settings'!$F$50+(N('Player Data'!BI24)&gt;='Model Settings'!$E$51)*'Model Settings'!$F$51)/('Model Settings'!$F$45+'Model Settings'!$F$46+'Model Settings'!$F$47+'Model Settings'!$F$48+'Model Settings'!$F$49+'Model Settings'!$F$50+'Model Settings'!$F$51),0)</f>
        <v>0</v>
      </c>
      <c r="H24" s="34" t="str">
        <f aca="false">IF(AND(B24&lt;'Model Settings'!$E$66,E24&lt;'Model Settings'!$E$68),"Non-problem",IF(E24&gt;='Model Settings'!$E$68,"Financially vulnerable",IF(OR(N('Player Data'!BY24)&gt;=1,N('Player Data'!BX24)&gt;=2,N('Player Data'!BW24)&gt;=3),"Emotionally vulnerable","At-risk")))</f>
        <v>Non-problem</v>
      </c>
      <c r="I24" s="34" t="str">
        <f aca="false">IF(OR(N('Player Data'!BY24)&gt;=1,'Player Data'!BZ24="Yes"),"Alert","None")</f>
        <v>None</v>
      </c>
      <c r="J24" s="34" t="str">
        <f aca="false">IF(OR(B24&gt;='Model Settings'!$E$67,'Player Data'!BM24="Yes",I24="Alert"),"Suppress",IF(AND(B24&gt;='Model Settings'!$E$66,'Player Data'!G24="Yes"),"Review VIP","Allow"))</f>
        <v>Allow</v>
      </c>
      <c r="K24" s="50" t="n">
        <f aca="false">ROUND(100*((N('Player Data'!CH24)&gt;='Model Settings'!$E$52)*'Model Settings'!$F$52+(N('Player Data'!CI24)&gt;='Model Settings'!$E$53)*'Model Settings'!$F$53+(N('Player Data'!R24)&gt;='Model Settings'!$E$54)*'Model Settings'!$F$54+(N('Player Data'!Y24)&gt;='Model Settings'!$E$55)*'Model Settings'!$F$55+(N('Player Data'!AS24)&gt;='Model Settings'!$E$56)*'Model Settings'!$F$56)/('Model Settings'!$F$52+'Model Settings'!$F$53+'Model Settings'!$F$54+'Model Settings'!$F$55+'Model Settings'!$F$56),0)</f>
        <v>0</v>
      </c>
      <c r="L24" s="34" t="str">
        <f aca="false">IF('Player Data'!D24="Spain",ROUND(100*((N('Player Data'!H24)&gt;='Model Settings'!$E$57)*'Model Settings'!$F$57+(N('Player Data'!AI24)&gt;='Model Settings'!$E$58)*'Model Settings'!$F$58+(N('Player Data'!AL24)&gt;='Model Settings'!$E$59)*'Model Settings'!$F$59+(N('Player Data'!M24)&gt;='Model Settings'!$E$60)*'Model Settings'!$F$60+(N('Player Data'!X24)&lt;='Model Settings'!$E$61)*'Model Settings'!$F$61+(N('Player Data'!Y24)&gt;='Model Settings'!$E$62)*'Model Settings'!$F$62+(N('Player Data'!P24)&gt;='Model Settings'!$E$63)*'Model Settings'!$F$63)/('Model Settings'!$F$57+'Model Settings'!$F$58+'Model Settings'!$F$59+'Model Settings'!$F$60+'Model Settings'!$F$61+'Model Settings'!$F$62+'Model Settings'!$F$63),0),"n/a")</f>
        <v>n/a</v>
      </c>
      <c r="M24" s="34" t="str">
        <f aca="false">IF('Player Data'!CA24="None","No contact yet",IF('Player Data'!CA24="Improved","Working",IF('Player Data'!CA24="No change","Review approach","Escalate")))</f>
        <v>No contact yet</v>
      </c>
      <c r="N24" s="49" t="str">
        <f aca="false">IF(OR('Player Data'!BM24="Yes",I24="Alert"),"High",IF(B24&gt;='Model Settings'!$E$67,"High",IF(OR(B24&gt;='Model Settings'!$E$66,D24&gt;='Model Settings'!$E$68,F24&gt;='Model Settings'!$E$68,K24&gt;='Model Settings'!$E$68),"Medium","Low")))</f>
        <v>Low</v>
      </c>
      <c r="O24" s="34" t="str">
        <f aca="false">IF(N24="High","Contact player + review within 48h; stop marketing",IF(N24="Medium","Safer gambling message; monitor weekly","No action; routine monitoring"))</f>
        <v>No action; routine monitoring</v>
      </c>
      <c r="P24" s="34" t="n">
        <f aca="false">IF(OR(N24="High",AND('Model Settings'!$E$70="High+Medium",N24="Medium")),1,0)</f>
        <v>0</v>
      </c>
      <c r="Q24" s="34" t="n">
        <f aca="false">'Player Data'!CM24</f>
        <v>0</v>
      </c>
    </row>
    <row r="25" customFormat="false" ht="15" hidden="false" customHeight="false" outlineLevel="0" collapsed="false">
      <c r="A25" s="49" t="str">
        <f aca="false">'Player Data'!A25</f>
        <v>P020</v>
      </c>
      <c r="B25" s="50" t="n">
        <f aca="false">ROUND(100*((N('Player Data'!U25)&gt;='Model Settings'!$E$5)*'Model Settings'!$F$5+(N('Player Data'!AT25)&gt;='Model Settings'!$E$6)*'Model Settings'!$F$6+(N('Player Data'!BI25)&gt;='Model Settings'!$E$7)*'Model Settings'!$F$7+(N('Player Data'!AL25)&gt;='Model Settings'!$E$8)*'Model Settings'!$F$8+(N('Player Data'!AH25)&gt;='Model Settings'!$E$9)*'Model Settings'!$F$9+(N('Player Data'!B25)&lt;='Model Settings'!$E$10)*'Model Settings'!$F$10+(N('Player Data'!M25)&gt;='Model Settings'!$E$11)*'Model Settings'!$F$11+(N('Player Data'!J25)&lt;='Model Settings'!$E$12)*'Model Settings'!$F$12+(N('Player Data'!V25)&gt;='Model Settings'!$E$13)*'Model Settings'!$F$13+(N('Player Data'!W25)&gt;='Model Settings'!$E$14)*'Model Settings'!$F$14+(N('Player Data'!AE25)&gt;='Model Settings'!$E$15)*'Model Settings'!$F$15+(N('Player Data'!BF25)&gt;='Model Settings'!$E$16)*'Model Settings'!$F$16+(N('Player Data'!AX25)&gt;='Model Settings'!$E$17)*'Model Settings'!$F$17+(N('Player Data'!AP25)&gt;='Model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5" s="34" t="str">
        <f aca="false">IF('Player Data'!E25&lt;='Model Settings'!$E$69,ROUND(100*((N('Player Data'!H25)&gt;='Model Settings'!$E$19)*'Model Settings'!$F$19+(N('Player Data'!S25)&gt;='Model Settings'!$E$20)*'Model Settings'!$F$20+(N('Player Data'!AH25)&gt;='Model Settings'!$E$21)*'Model Settings'!$F$21+(N('Player Data'!AX25)&gt;='Model Settings'!$E$22)*'Model Settings'!$F$22+(N('Player Data'!Y25)&gt;='Model Settings'!$E$23)*'Model Settings'!$F$23+(N('Player Data'!AM25)&gt;='Model Settings'!$E$24)*'Model Settings'!$F$24)/('Model Settings'!$F$19+'Model Settings'!$F$20+'Model Settings'!$F$21+'Model Settings'!$F$22+'Model Settings'!$F$23+'Model Settings'!$F$24),0),"n/a")</f>
        <v>n/a</v>
      </c>
      <c r="D25" s="50" t="n">
        <f aca="false">ROUND(100*((N('Player Data'!U25)&gt;='Model Settings'!$E$25)*'Model Settings'!$F$25+(N('Player Data'!V25)&gt;='Model Settings'!$E$26)*'Model Settings'!$F$26+(N('Player Data'!W25)&gt;='Model Settings'!$E$27)*'Model Settings'!$F$27+(N('Player Data'!AT25)&gt;='Model Settings'!$E$28)*'Model Settings'!$F$28+(N('Player Data'!AE25)&gt;='Model Settings'!$E$29)*'Model Settings'!$F$29+(N('Player Data'!AO25)&gt;='Model Settings'!$E$30)*'Model Settings'!$F$30+(N('Player Data'!AG25)&gt;='Model Settings'!$E$31)*'Model Settings'!$F$31)/('Model Settings'!$F$25+'Model Settings'!$F$26+'Model Settings'!$F$27+'Model Settings'!$F$28+'Model Settings'!$F$29+'Model Settings'!$F$30+'Model Settings'!$F$31),0)</f>
        <v>0</v>
      </c>
      <c r="E25" s="50" t="n">
        <f aca="false">ROUND(100*((N('Player Data'!Z25)&gt;='Model Settings'!$E$32)*'Model Settings'!$F$32+(N('Player Data'!BN25)&gt;='Model Settings'!$E$33)*'Model Settings'!$F$33+(N('Player Data'!BO25)&gt;='Model Settings'!$E$34)*'Model Settings'!$F$34+(N('Player Data'!BP25)&gt;='Model Settings'!$E$35)*'Model Settings'!$F$35+('Player Data'!BR25='Model Settings'!$E$36)*'Model Settings'!$F$36+(N('Player Data'!AW25)&gt;='Model Settings'!$E$37)*'Model Settings'!$F$37+(N('Player Data'!AF25)&lt;='Model Settings'!$E$38)*'Model Settings'!$F$38)/('Model Settings'!$F$32+'Model Settings'!$F$33+'Model Settings'!$F$34+'Model Settings'!$F$35+'Model Settings'!$F$36+'Model Settings'!$F$37+'Model Settings'!$F$38),0)</f>
        <v>14</v>
      </c>
      <c r="F25" s="50" t="n">
        <f aca="false">ROUND(100*((N('Player Data'!K25)&gt;='Model Settings'!$E$39)*'Model Settings'!$F$39+(N('Player Data'!P25)&gt;='Model Settings'!$E$40)*'Model Settings'!$F$40+(N('Player Data'!M25)&gt;='Model Settings'!$E$41)*'Model Settings'!$F$41+(N('Player Data'!AU25)&gt;='Model Settings'!$E$42)*'Model Settings'!$F$42+(N('Player Data'!CL25)&gt;='Model Settings'!$E$43)*'Model Settings'!$F$43+(N('Player Data'!Q25)&gt;='Model Settings'!$E$44)*'Model Settings'!$F$44)/('Model Settings'!$F$39+'Model Settings'!$F$40+'Model Settings'!$F$41+'Model Settings'!$F$42+'Model Settings'!$F$43+'Model Settings'!$F$44),0)</f>
        <v>0</v>
      </c>
      <c r="G25" s="50" t="n">
        <f aca="false">ROUND(100*((N('Player Data'!BE25)&gt;='Model Settings'!$E$45)*'Model Settings'!$F$45+(N('Player Data'!BH25)&gt;='Model Settings'!$E$46)*'Model Settings'!$F$46+(N('Player Data'!U25)&gt;='Model Settings'!$E$47)*'Model Settings'!$F$47+(N('Player Data'!BN25)&gt;='Model Settings'!$E$48)*'Model Settings'!$F$48+(N('Player Data'!AX25)&gt;='Model Settings'!$E$49)*'Model Settings'!$F$49+(N('Player Data'!BL25)&gt;='Model Settings'!$E$50)*'Model Settings'!$F$50+(N('Player Data'!BI25)&gt;='Model Settings'!$E$51)*'Model Settings'!$F$51)/('Model Settings'!$F$45+'Model Settings'!$F$46+'Model Settings'!$F$47+'Model Settings'!$F$48+'Model Settings'!$F$49+'Model Settings'!$F$50+'Model Settings'!$F$51),0)</f>
        <v>0</v>
      </c>
      <c r="H25" s="34" t="str">
        <f aca="false">IF(AND(B25&lt;'Model Settings'!$E$66,E25&lt;'Model Settings'!$E$68),"Non-problem",IF(E25&gt;='Model Settings'!$E$68,"Financially vulnerable",IF(OR(N('Player Data'!BY25)&gt;=1,N('Player Data'!BX25)&gt;=2,N('Player Data'!BW25)&gt;=3),"Emotionally vulnerable","At-risk")))</f>
        <v>Non-problem</v>
      </c>
      <c r="I25" s="34" t="str">
        <f aca="false">IF(OR(N('Player Data'!BY25)&gt;=1,'Player Data'!BZ25="Yes"),"Alert","None")</f>
        <v>None</v>
      </c>
      <c r="J25" s="34" t="str">
        <f aca="false">IF(OR(B25&gt;='Model Settings'!$E$67,'Player Data'!BM25="Yes",I25="Alert"),"Suppress",IF(AND(B25&gt;='Model Settings'!$E$66,'Player Data'!G25="Yes"),"Review VIP","Allow"))</f>
        <v>Allow</v>
      </c>
      <c r="K25" s="50" t="n">
        <f aca="false">ROUND(100*((N('Player Data'!CH25)&gt;='Model Settings'!$E$52)*'Model Settings'!$F$52+(N('Player Data'!CI25)&gt;='Model Settings'!$E$53)*'Model Settings'!$F$53+(N('Player Data'!R25)&gt;='Model Settings'!$E$54)*'Model Settings'!$F$54+(N('Player Data'!Y25)&gt;='Model Settings'!$E$55)*'Model Settings'!$F$55+(N('Player Data'!AS25)&gt;='Model Settings'!$E$56)*'Model Settings'!$F$56)/('Model Settings'!$F$52+'Model Settings'!$F$53+'Model Settings'!$F$54+'Model Settings'!$F$55+'Model Settings'!$F$56),0)</f>
        <v>0</v>
      </c>
      <c r="L25" s="34" t="str">
        <f aca="false">IF('Player Data'!D25="Spain",ROUND(100*((N('Player Data'!H25)&gt;='Model Settings'!$E$57)*'Model Settings'!$F$57+(N('Player Data'!AI25)&gt;='Model Settings'!$E$58)*'Model Settings'!$F$58+(N('Player Data'!AL25)&gt;='Model Settings'!$E$59)*'Model Settings'!$F$59+(N('Player Data'!M25)&gt;='Model Settings'!$E$60)*'Model Settings'!$F$60+(N('Player Data'!X25)&lt;='Model Settings'!$E$61)*'Model Settings'!$F$61+(N('Player Data'!Y25)&gt;='Model Settings'!$E$62)*'Model Settings'!$F$62+(N('Player Data'!P25)&gt;='Model Settings'!$E$63)*'Model Settings'!$F$63)/('Model Settings'!$F$57+'Model Settings'!$F$58+'Model Settings'!$F$59+'Model Settings'!$F$60+'Model Settings'!$F$61+'Model Settings'!$F$62+'Model Settings'!$F$63),0),"n/a")</f>
        <v>n/a</v>
      </c>
      <c r="M25" s="34" t="str">
        <f aca="false">IF('Player Data'!CA25="None","No contact yet",IF('Player Data'!CA25="Improved","Working",IF('Player Data'!CA25="No change","Review approach","Escalate")))</f>
        <v>No contact yet</v>
      </c>
      <c r="N25" s="49" t="str">
        <f aca="false">IF(OR('Player Data'!BM25="Yes",I25="Alert"),"High",IF(B25&gt;='Model Settings'!$E$67,"High",IF(OR(B25&gt;='Model Settings'!$E$66,D25&gt;='Model Settings'!$E$68,F25&gt;='Model Settings'!$E$68,K25&gt;='Model Settings'!$E$68),"Medium","Low")))</f>
        <v>Low</v>
      </c>
      <c r="O25" s="34" t="str">
        <f aca="false">IF(N25="High","Contact player + review within 48h; stop marketing",IF(N25="Medium","Safer gambling message; monitor weekly","No action; routine monitoring"))</f>
        <v>No action; routine monitoring</v>
      </c>
      <c r="P25" s="34" t="n">
        <f aca="false">IF(OR(N25="High",AND('Model Settings'!$E$70="High+Medium",N25="Medium")),1,0)</f>
        <v>0</v>
      </c>
      <c r="Q25" s="34" t="n">
        <f aca="false">'Player Data'!CM25</f>
        <v>0</v>
      </c>
    </row>
    <row r="26" customFormat="false" ht="15" hidden="false" customHeight="false" outlineLevel="0" collapsed="false">
      <c r="A26" s="49" t="str">
        <f aca="false">'Player Data'!A26</f>
        <v>P021</v>
      </c>
      <c r="B26" s="50" t="n">
        <f aca="false">ROUND(100*((N('Player Data'!U26)&gt;='Model Settings'!$E$5)*'Model Settings'!$F$5+(N('Player Data'!AT26)&gt;='Model Settings'!$E$6)*'Model Settings'!$F$6+(N('Player Data'!BI26)&gt;='Model Settings'!$E$7)*'Model Settings'!$F$7+(N('Player Data'!AL26)&gt;='Model Settings'!$E$8)*'Model Settings'!$F$8+(N('Player Data'!AH26)&gt;='Model Settings'!$E$9)*'Model Settings'!$F$9+(N('Player Data'!B26)&lt;='Model Settings'!$E$10)*'Model Settings'!$F$10+(N('Player Data'!M26)&gt;='Model Settings'!$E$11)*'Model Settings'!$F$11+(N('Player Data'!J26)&lt;='Model Settings'!$E$12)*'Model Settings'!$F$12+(N('Player Data'!V26)&gt;='Model Settings'!$E$13)*'Model Settings'!$F$13+(N('Player Data'!W26)&gt;='Model Settings'!$E$14)*'Model Settings'!$F$14+(N('Player Data'!AE26)&gt;='Model Settings'!$E$15)*'Model Settings'!$F$15+(N('Player Data'!BF26)&gt;='Model Settings'!$E$16)*'Model Settings'!$F$16+(N('Player Data'!AX26)&gt;='Model Settings'!$E$17)*'Model Settings'!$F$17+(N('Player Data'!AP26)&gt;='Model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6" s="34" t="str">
        <f aca="false">IF('Player Data'!E26&lt;='Model Settings'!$E$69,ROUND(100*((N('Player Data'!H26)&gt;='Model Settings'!$E$19)*'Model Settings'!$F$19+(N('Player Data'!S26)&gt;='Model Settings'!$E$20)*'Model Settings'!$F$20+(N('Player Data'!AH26)&gt;='Model Settings'!$E$21)*'Model Settings'!$F$21+(N('Player Data'!AX26)&gt;='Model Settings'!$E$22)*'Model Settings'!$F$22+(N('Player Data'!Y26)&gt;='Model Settings'!$E$23)*'Model Settings'!$F$23+(N('Player Data'!AM26)&gt;='Model Settings'!$E$24)*'Model Settings'!$F$24)/('Model Settings'!$F$19+'Model Settings'!$F$20+'Model Settings'!$F$21+'Model Settings'!$F$22+'Model Settings'!$F$23+'Model Settings'!$F$24),0),"n/a")</f>
        <v>n/a</v>
      </c>
      <c r="D26" s="50" t="n">
        <f aca="false">ROUND(100*((N('Player Data'!U26)&gt;='Model Settings'!$E$25)*'Model Settings'!$F$25+(N('Player Data'!V26)&gt;='Model Settings'!$E$26)*'Model Settings'!$F$26+(N('Player Data'!W26)&gt;='Model Settings'!$E$27)*'Model Settings'!$F$27+(N('Player Data'!AT26)&gt;='Model Settings'!$E$28)*'Model Settings'!$F$28+(N('Player Data'!AE26)&gt;='Model Settings'!$E$29)*'Model Settings'!$F$29+(N('Player Data'!AO26)&gt;='Model Settings'!$E$30)*'Model Settings'!$F$30+(N('Player Data'!AG26)&gt;='Model Settings'!$E$31)*'Model Settings'!$F$31)/('Model Settings'!$F$25+'Model Settings'!$F$26+'Model Settings'!$F$27+'Model Settings'!$F$28+'Model Settings'!$F$29+'Model Settings'!$F$30+'Model Settings'!$F$31),0)</f>
        <v>0</v>
      </c>
      <c r="E26" s="50" t="n">
        <f aca="false">ROUND(100*((N('Player Data'!Z26)&gt;='Model Settings'!$E$32)*'Model Settings'!$F$32+(N('Player Data'!BN26)&gt;='Model Settings'!$E$33)*'Model Settings'!$F$33+(N('Player Data'!BO26)&gt;='Model Settings'!$E$34)*'Model Settings'!$F$34+(N('Player Data'!BP26)&gt;='Model Settings'!$E$35)*'Model Settings'!$F$35+('Player Data'!BR26='Model Settings'!$E$36)*'Model Settings'!$F$36+(N('Player Data'!AW26)&gt;='Model Settings'!$E$37)*'Model Settings'!$F$37+(N('Player Data'!AF26)&lt;='Model Settings'!$E$38)*'Model Settings'!$F$38)/('Model Settings'!$F$32+'Model Settings'!$F$33+'Model Settings'!$F$34+'Model Settings'!$F$35+'Model Settings'!$F$36+'Model Settings'!$F$37+'Model Settings'!$F$38),0)</f>
        <v>0</v>
      </c>
      <c r="F26" s="50" t="n">
        <f aca="false">ROUND(100*((N('Player Data'!K26)&gt;='Model Settings'!$E$39)*'Model Settings'!$F$39+(N('Player Data'!P26)&gt;='Model Settings'!$E$40)*'Model Settings'!$F$40+(N('Player Data'!M26)&gt;='Model Settings'!$E$41)*'Model Settings'!$F$41+(N('Player Data'!AU26)&gt;='Model Settings'!$E$42)*'Model Settings'!$F$42+(N('Player Data'!CL26)&gt;='Model Settings'!$E$43)*'Model Settings'!$F$43+(N('Player Data'!Q26)&gt;='Model Settings'!$E$44)*'Model Settings'!$F$44)/('Model Settings'!$F$39+'Model Settings'!$F$40+'Model Settings'!$F$41+'Model Settings'!$F$42+'Model Settings'!$F$43+'Model Settings'!$F$44),0)</f>
        <v>0</v>
      </c>
      <c r="G26" s="50" t="n">
        <f aca="false">ROUND(100*((N('Player Data'!BE26)&gt;='Model Settings'!$E$45)*'Model Settings'!$F$45+(N('Player Data'!BH26)&gt;='Model Settings'!$E$46)*'Model Settings'!$F$46+(N('Player Data'!U26)&gt;='Model Settings'!$E$47)*'Model Settings'!$F$47+(N('Player Data'!BN26)&gt;='Model Settings'!$E$48)*'Model Settings'!$F$48+(N('Player Data'!AX26)&gt;='Model Settings'!$E$49)*'Model Settings'!$F$49+(N('Player Data'!BL26)&gt;='Model Settings'!$E$50)*'Model Settings'!$F$50+(N('Player Data'!BI26)&gt;='Model Settings'!$E$51)*'Model Settings'!$F$51)/('Model Settings'!$F$45+'Model Settings'!$F$46+'Model Settings'!$F$47+'Model Settings'!$F$48+'Model Settings'!$F$49+'Model Settings'!$F$50+'Model Settings'!$F$51),0)</f>
        <v>0</v>
      </c>
      <c r="H26" s="34" t="str">
        <f aca="false">IF(AND(B26&lt;'Model Settings'!$E$66,E26&lt;'Model Settings'!$E$68),"Non-problem",IF(E26&gt;='Model Settings'!$E$68,"Financially vulnerable",IF(OR(N('Player Data'!BY26)&gt;=1,N('Player Data'!BX26)&gt;=2,N('Player Data'!BW26)&gt;=3),"Emotionally vulnerable","At-risk")))</f>
        <v>Non-problem</v>
      </c>
      <c r="I26" s="34" t="str">
        <f aca="false">IF(OR(N('Player Data'!BY26)&gt;=1,'Player Data'!BZ26="Yes"),"Alert","None")</f>
        <v>None</v>
      </c>
      <c r="J26" s="34" t="str">
        <f aca="false">IF(OR(B26&gt;='Model Settings'!$E$67,'Player Data'!BM26="Yes",I26="Alert"),"Suppress",IF(AND(B26&gt;='Model Settings'!$E$66,'Player Data'!G26="Yes"),"Review VIP","Allow"))</f>
        <v>Allow</v>
      </c>
      <c r="K26" s="50" t="n">
        <f aca="false">ROUND(100*((N('Player Data'!CH26)&gt;='Model Settings'!$E$52)*'Model Settings'!$F$52+(N('Player Data'!CI26)&gt;='Model Settings'!$E$53)*'Model Settings'!$F$53+(N('Player Data'!R26)&gt;='Model Settings'!$E$54)*'Model Settings'!$F$54+(N('Player Data'!Y26)&gt;='Model Settings'!$E$55)*'Model Settings'!$F$55+(N('Player Data'!AS26)&gt;='Model Settings'!$E$56)*'Model Settings'!$F$56)/('Model Settings'!$F$52+'Model Settings'!$F$53+'Model Settings'!$F$54+'Model Settings'!$F$55+'Model Settings'!$F$56),0)</f>
        <v>0</v>
      </c>
      <c r="L26" s="34" t="str">
        <f aca="false">IF('Player Data'!D26="Spain",ROUND(100*((N('Player Data'!H26)&gt;='Model Settings'!$E$57)*'Model Settings'!$F$57+(N('Player Data'!AI26)&gt;='Model Settings'!$E$58)*'Model Settings'!$F$58+(N('Player Data'!AL26)&gt;='Model Settings'!$E$59)*'Model Settings'!$F$59+(N('Player Data'!M26)&gt;='Model Settings'!$E$60)*'Model Settings'!$F$60+(N('Player Data'!X26)&lt;='Model Settings'!$E$61)*'Model Settings'!$F$61+(N('Player Data'!Y26)&gt;='Model Settings'!$E$62)*'Model Settings'!$F$62+(N('Player Data'!P26)&gt;='Model Settings'!$E$63)*'Model Settings'!$F$63)/('Model Settings'!$F$57+'Model Settings'!$F$58+'Model Settings'!$F$59+'Model Settings'!$F$60+'Model Settings'!$F$61+'Model Settings'!$F$62+'Model Settings'!$F$63),0),"n/a")</f>
        <v>n/a</v>
      </c>
      <c r="M26" s="34" t="str">
        <f aca="false">IF('Player Data'!CA26="None","No contact yet",IF('Player Data'!CA26="Improved","Working",IF('Player Data'!CA26="No change","Review approach","Escalate")))</f>
        <v>No contact yet</v>
      </c>
      <c r="N26" s="49" t="str">
        <f aca="false">IF(OR('Player Data'!BM26="Yes",I26="Alert"),"High",IF(B26&gt;='Model Settings'!$E$67,"High",IF(OR(B26&gt;='Model Settings'!$E$66,D26&gt;='Model Settings'!$E$68,F26&gt;='Model Settings'!$E$68,K26&gt;='Model Settings'!$E$68),"Medium","Low")))</f>
        <v>Low</v>
      </c>
      <c r="O26" s="34" t="str">
        <f aca="false">IF(N26="High","Contact player + review within 48h; stop marketing",IF(N26="Medium","Safer gambling message; monitor weekly","No action; routine monitoring"))</f>
        <v>No action; routine monitoring</v>
      </c>
      <c r="P26" s="34" t="n">
        <f aca="false">IF(OR(N26="High",AND('Model Settings'!$E$70="High+Medium",N26="Medium")),1,0)</f>
        <v>0</v>
      </c>
      <c r="Q26" s="34" t="n">
        <f aca="false">'Player Data'!CM26</f>
        <v>0</v>
      </c>
    </row>
    <row r="27" customFormat="false" ht="15" hidden="false" customHeight="false" outlineLevel="0" collapsed="false">
      <c r="A27" s="49" t="str">
        <f aca="false">'Player Data'!A27</f>
        <v>P022</v>
      </c>
      <c r="B27" s="50" t="n">
        <f aca="false">ROUND(100*((N('Player Data'!U27)&gt;='Model Settings'!$E$5)*'Model Settings'!$F$5+(N('Player Data'!AT27)&gt;='Model Settings'!$E$6)*'Model Settings'!$F$6+(N('Player Data'!BI27)&gt;='Model Settings'!$E$7)*'Model Settings'!$F$7+(N('Player Data'!AL27)&gt;='Model Settings'!$E$8)*'Model Settings'!$F$8+(N('Player Data'!AH27)&gt;='Model Settings'!$E$9)*'Model Settings'!$F$9+(N('Player Data'!B27)&lt;='Model Settings'!$E$10)*'Model Settings'!$F$10+(N('Player Data'!M27)&gt;='Model Settings'!$E$11)*'Model Settings'!$F$11+(N('Player Data'!J27)&lt;='Model Settings'!$E$12)*'Model Settings'!$F$12+(N('Player Data'!V27)&gt;='Model Settings'!$E$13)*'Model Settings'!$F$13+(N('Player Data'!W27)&gt;='Model Settings'!$E$14)*'Model Settings'!$F$14+(N('Player Data'!AE27)&gt;='Model Settings'!$E$15)*'Model Settings'!$F$15+(N('Player Data'!BF27)&gt;='Model Settings'!$E$16)*'Model Settings'!$F$16+(N('Player Data'!AX27)&gt;='Model Settings'!$E$17)*'Model Settings'!$F$17+(N('Player Data'!AP27)&gt;='Model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7" s="34" t="str">
        <f aca="false">IF('Player Data'!E27&lt;='Model Settings'!$E$69,ROUND(100*((N('Player Data'!H27)&gt;='Model Settings'!$E$19)*'Model Settings'!$F$19+(N('Player Data'!S27)&gt;='Model Settings'!$E$20)*'Model Settings'!$F$20+(N('Player Data'!AH27)&gt;='Model Settings'!$E$21)*'Model Settings'!$F$21+(N('Player Data'!AX27)&gt;='Model Settings'!$E$22)*'Model Settings'!$F$22+(N('Player Data'!Y27)&gt;='Model Settings'!$E$23)*'Model Settings'!$F$23+(N('Player Data'!AM27)&gt;='Model Settings'!$E$24)*'Model Settings'!$F$24)/('Model Settings'!$F$19+'Model Settings'!$F$20+'Model Settings'!$F$21+'Model Settings'!$F$22+'Model Settings'!$F$23+'Model Settings'!$F$24),0),"n/a")</f>
        <v>n/a</v>
      </c>
      <c r="D27" s="50" t="n">
        <f aca="false">ROUND(100*((N('Player Data'!U27)&gt;='Model Settings'!$E$25)*'Model Settings'!$F$25+(N('Player Data'!V27)&gt;='Model Settings'!$E$26)*'Model Settings'!$F$26+(N('Player Data'!W27)&gt;='Model Settings'!$E$27)*'Model Settings'!$F$27+(N('Player Data'!AT27)&gt;='Model Settings'!$E$28)*'Model Settings'!$F$28+(N('Player Data'!AE27)&gt;='Model Settings'!$E$29)*'Model Settings'!$F$29+(N('Player Data'!AO27)&gt;='Model Settings'!$E$30)*'Model Settings'!$F$30+(N('Player Data'!AG27)&gt;='Model Settings'!$E$31)*'Model Settings'!$F$31)/('Model Settings'!$F$25+'Model Settings'!$F$26+'Model Settings'!$F$27+'Model Settings'!$F$28+'Model Settings'!$F$29+'Model Settings'!$F$30+'Model Settings'!$F$31),0)</f>
        <v>0</v>
      </c>
      <c r="E27" s="50" t="n">
        <f aca="false">ROUND(100*((N('Player Data'!Z27)&gt;='Model Settings'!$E$32)*'Model Settings'!$F$32+(N('Player Data'!BN27)&gt;='Model Settings'!$E$33)*'Model Settings'!$F$33+(N('Player Data'!BO27)&gt;='Model Settings'!$E$34)*'Model Settings'!$F$34+(N('Player Data'!BP27)&gt;='Model Settings'!$E$35)*'Model Settings'!$F$35+('Player Data'!BR27='Model Settings'!$E$36)*'Model Settings'!$F$36+(N('Player Data'!AW27)&gt;='Model Settings'!$E$37)*'Model Settings'!$F$37+(N('Player Data'!AF27)&lt;='Model Settings'!$E$38)*'Model Settings'!$F$38)/('Model Settings'!$F$32+'Model Settings'!$F$33+'Model Settings'!$F$34+'Model Settings'!$F$35+'Model Settings'!$F$36+'Model Settings'!$F$37+'Model Settings'!$F$38),0)</f>
        <v>0</v>
      </c>
      <c r="F27" s="50" t="n">
        <f aca="false">ROUND(100*((N('Player Data'!K27)&gt;='Model Settings'!$E$39)*'Model Settings'!$F$39+(N('Player Data'!P27)&gt;='Model Settings'!$E$40)*'Model Settings'!$F$40+(N('Player Data'!M27)&gt;='Model Settings'!$E$41)*'Model Settings'!$F$41+(N('Player Data'!AU27)&gt;='Model Settings'!$E$42)*'Model Settings'!$F$42+(N('Player Data'!CL27)&gt;='Model Settings'!$E$43)*'Model Settings'!$F$43+(N('Player Data'!Q27)&gt;='Model Settings'!$E$44)*'Model Settings'!$F$44)/('Model Settings'!$F$39+'Model Settings'!$F$40+'Model Settings'!$F$41+'Model Settings'!$F$42+'Model Settings'!$F$43+'Model Settings'!$F$44),0)</f>
        <v>17</v>
      </c>
      <c r="G27" s="50" t="n">
        <f aca="false">ROUND(100*((N('Player Data'!BE27)&gt;='Model Settings'!$E$45)*'Model Settings'!$F$45+(N('Player Data'!BH27)&gt;='Model Settings'!$E$46)*'Model Settings'!$F$46+(N('Player Data'!U27)&gt;='Model Settings'!$E$47)*'Model Settings'!$F$47+(N('Player Data'!BN27)&gt;='Model Settings'!$E$48)*'Model Settings'!$F$48+(N('Player Data'!AX27)&gt;='Model Settings'!$E$49)*'Model Settings'!$F$49+(N('Player Data'!BL27)&gt;='Model Settings'!$E$50)*'Model Settings'!$F$50+(N('Player Data'!BI27)&gt;='Model Settings'!$E$51)*'Model Settings'!$F$51)/('Model Settings'!$F$45+'Model Settings'!$F$46+'Model Settings'!$F$47+'Model Settings'!$F$48+'Model Settings'!$F$49+'Model Settings'!$F$50+'Model Settings'!$F$51),0)</f>
        <v>0</v>
      </c>
      <c r="H27" s="34" t="str">
        <f aca="false">IF(AND(B27&lt;'Model Settings'!$E$66,E27&lt;'Model Settings'!$E$68),"Non-problem",IF(E27&gt;='Model Settings'!$E$68,"Financially vulnerable",IF(OR(N('Player Data'!BY27)&gt;=1,N('Player Data'!BX27)&gt;=2,N('Player Data'!BW27)&gt;=3),"Emotionally vulnerable","At-risk")))</f>
        <v>Non-problem</v>
      </c>
      <c r="I27" s="34" t="str">
        <f aca="false">IF(OR(N('Player Data'!BY27)&gt;=1,'Player Data'!BZ27="Yes"),"Alert","None")</f>
        <v>None</v>
      </c>
      <c r="J27" s="34" t="str">
        <f aca="false">IF(OR(B27&gt;='Model Settings'!$E$67,'Player Data'!BM27="Yes",I27="Alert"),"Suppress",IF(AND(B27&gt;='Model Settings'!$E$66,'Player Data'!G27="Yes"),"Review VIP","Allow"))</f>
        <v>Allow</v>
      </c>
      <c r="K27" s="50" t="n">
        <f aca="false">ROUND(100*((N('Player Data'!CH27)&gt;='Model Settings'!$E$52)*'Model Settings'!$F$52+(N('Player Data'!CI27)&gt;='Model Settings'!$E$53)*'Model Settings'!$F$53+(N('Player Data'!R27)&gt;='Model Settings'!$E$54)*'Model Settings'!$F$54+(N('Player Data'!Y27)&gt;='Model Settings'!$E$55)*'Model Settings'!$F$55+(N('Player Data'!AS27)&gt;='Model Settings'!$E$56)*'Model Settings'!$F$56)/('Model Settings'!$F$52+'Model Settings'!$F$53+'Model Settings'!$F$54+'Model Settings'!$F$55+'Model Settings'!$F$56),0)</f>
        <v>20</v>
      </c>
      <c r="L27" s="34" t="str">
        <f aca="false">IF('Player Data'!D27="Spain",ROUND(100*((N('Player Data'!H27)&gt;='Model Settings'!$E$57)*'Model Settings'!$F$57+(N('Player Data'!AI27)&gt;='Model Settings'!$E$58)*'Model Settings'!$F$58+(N('Player Data'!AL27)&gt;='Model Settings'!$E$59)*'Model Settings'!$F$59+(N('Player Data'!M27)&gt;='Model Settings'!$E$60)*'Model Settings'!$F$60+(N('Player Data'!X27)&lt;='Model Settings'!$E$61)*'Model Settings'!$F$61+(N('Player Data'!Y27)&gt;='Model Settings'!$E$62)*'Model Settings'!$F$62+(N('Player Data'!P27)&gt;='Model Settings'!$E$63)*'Model Settings'!$F$63)/('Model Settings'!$F$57+'Model Settings'!$F$58+'Model Settings'!$F$59+'Model Settings'!$F$60+'Model Settings'!$F$61+'Model Settings'!$F$62+'Model Settings'!$F$63),0),"n/a")</f>
        <v>n/a</v>
      </c>
      <c r="M27" s="34" t="str">
        <f aca="false">IF('Player Data'!CA27="None","No contact yet",IF('Player Data'!CA27="Improved","Working",IF('Player Data'!CA27="No change","Review approach","Escalate")))</f>
        <v>No contact yet</v>
      </c>
      <c r="N27" s="49" t="str">
        <f aca="false">IF(OR('Player Data'!BM27="Yes",I27="Alert"),"High",IF(B27&gt;='Model Settings'!$E$67,"High",IF(OR(B27&gt;='Model Settings'!$E$66,D27&gt;='Model Settings'!$E$68,F27&gt;='Model Settings'!$E$68,K27&gt;='Model Settings'!$E$68),"Medium","Low")))</f>
        <v>Low</v>
      </c>
      <c r="O27" s="34" t="str">
        <f aca="false">IF(N27="High","Contact player + review within 48h; stop marketing",IF(N27="Medium","Safer gambling message; monitor weekly","No action; routine monitoring"))</f>
        <v>No action; routine monitoring</v>
      </c>
      <c r="P27" s="34" t="n">
        <f aca="false">IF(OR(N27="High",AND('Model Settings'!$E$70="High+Medium",N27="Medium")),1,0)</f>
        <v>0</v>
      </c>
      <c r="Q27" s="34" t="n">
        <f aca="false">'Player Data'!CM27</f>
        <v>0</v>
      </c>
    </row>
    <row r="28" customFormat="false" ht="15" hidden="false" customHeight="false" outlineLevel="0" collapsed="false">
      <c r="A28" s="49" t="str">
        <f aca="false">'Player Data'!A28</f>
        <v>P023</v>
      </c>
      <c r="B28" s="50" t="n">
        <f aca="false">ROUND(100*((N('Player Data'!U28)&gt;='Model Settings'!$E$5)*'Model Settings'!$F$5+(N('Player Data'!AT28)&gt;='Model Settings'!$E$6)*'Model Settings'!$F$6+(N('Player Data'!BI28)&gt;='Model Settings'!$E$7)*'Model Settings'!$F$7+(N('Player Data'!AL28)&gt;='Model Settings'!$E$8)*'Model Settings'!$F$8+(N('Player Data'!AH28)&gt;='Model Settings'!$E$9)*'Model Settings'!$F$9+(N('Player Data'!B28)&lt;='Model Settings'!$E$10)*'Model Settings'!$F$10+(N('Player Data'!M28)&gt;='Model Settings'!$E$11)*'Model Settings'!$F$11+(N('Player Data'!J28)&lt;='Model Settings'!$E$12)*'Model Settings'!$F$12+(N('Player Data'!V28)&gt;='Model Settings'!$E$13)*'Model Settings'!$F$13+(N('Player Data'!W28)&gt;='Model Settings'!$E$14)*'Model Settings'!$F$14+(N('Player Data'!AE28)&gt;='Model Settings'!$E$15)*'Model Settings'!$F$15+(N('Player Data'!BF28)&gt;='Model Settings'!$E$16)*'Model Settings'!$F$16+(N('Player Data'!AX28)&gt;='Model Settings'!$E$17)*'Model Settings'!$F$17+(N('Player Data'!AP28)&gt;='Model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28" s="34" t="str">
        <f aca="false">IF('Player Data'!E28&lt;='Model Settings'!$E$69,ROUND(100*((N('Player Data'!H28)&gt;='Model Settings'!$E$19)*'Model Settings'!$F$19+(N('Player Data'!S28)&gt;='Model Settings'!$E$20)*'Model Settings'!$F$20+(N('Player Data'!AH28)&gt;='Model Settings'!$E$21)*'Model Settings'!$F$21+(N('Player Data'!AX28)&gt;='Model Settings'!$E$22)*'Model Settings'!$F$22+(N('Player Data'!Y28)&gt;='Model Settings'!$E$23)*'Model Settings'!$F$23+(N('Player Data'!AM28)&gt;='Model Settings'!$E$24)*'Model Settings'!$F$24)/('Model Settings'!$F$19+'Model Settings'!$F$20+'Model Settings'!$F$21+'Model Settings'!$F$22+'Model Settings'!$F$23+'Model Settings'!$F$24),0),"n/a")</f>
        <v>n/a</v>
      </c>
      <c r="D28" s="50" t="n">
        <f aca="false">ROUND(100*((N('Player Data'!U28)&gt;='Model Settings'!$E$25)*'Model Settings'!$F$25+(N('Player Data'!V28)&gt;='Model Settings'!$E$26)*'Model Settings'!$F$26+(N('Player Data'!W28)&gt;='Model Settings'!$E$27)*'Model Settings'!$F$27+(N('Player Data'!AT28)&gt;='Model Settings'!$E$28)*'Model Settings'!$F$28+(N('Player Data'!AE28)&gt;='Model Settings'!$E$29)*'Model Settings'!$F$29+(N('Player Data'!AO28)&gt;='Model Settings'!$E$30)*'Model Settings'!$F$30+(N('Player Data'!AG28)&gt;='Model Settings'!$E$31)*'Model Settings'!$F$31)/('Model Settings'!$F$25+'Model Settings'!$F$26+'Model Settings'!$F$27+'Model Settings'!$F$28+'Model Settings'!$F$29+'Model Settings'!$F$30+'Model Settings'!$F$31),0)</f>
        <v>14</v>
      </c>
      <c r="E28" s="50" t="n">
        <f aca="false">ROUND(100*((N('Player Data'!Z28)&gt;='Model Settings'!$E$32)*'Model Settings'!$F$32+(N('Player Data'!BN28)&gt;='Model Settings'!$E$33)*'Model Settings'!$F$33+(N('Player Data'!BO28)&gt;='Model Settings'!$E$34)*'Model Settings'!$F$34+(N('Player Data'!BP28)&gt;='Model Settings'!$E$35)*'Model Settings'!$F$35+('Player Data'!BR28='Model Settings'!$E$36)*'Model Settings'!$F$36+(N('Player Data'!AW28)&gt;='Model Settings'!$E$37)*'Model Settings'!$F$37+(N('Player Data'!AF28)&lt;='Model Settings'!$E$38)*'Model Settings'!$F$38)/('Model Settings'!$F$32+'Model Settings'!$F$33+'Model Settings'!$F$34+'Model Settings'!$F$35+'Model Settings'!$F$36+'Model Settings'!$F$37+'Model Settings'!$F$38),0)</f>
        <v>14</v>
      </c>
      <c r="F28" s="50" t="n">
        <f aca="false">ROUND(100*((N('Player Data'!K28)&gt;='Model Settings'!$E$39)*'Model Settings'!$F$39+(N('Player Data'!P28)&gt;='Model Settings'!$E$40)*'Model Settings'!$F$40+(N('Player Data'!M28)&gt;='Model Settings'!$E$41)*'Model Settings'!$F$41+(N('Player Data'!AU28)&gt;='Model Settings'!$E$42)*'Model Settings'!$F$42+(N('Player Data'!CL28)&gt;='Model Settings'!$E$43)*'Model Settings'!$F$43+(N('Player Data'!Q28)&gt;='Model Settings'!$E$44)*'Model Settings'!$F$44)/('Model Settings'!$F$39+'Model Settings'!$F$40+'Model Settings'!$F$41+'Model Settings'!$F$42+'Model Settings'!$F$43+'Model Settings'!$F$44),0)</f>
        <v>33</v>
      </c>
      <c r="G28" s="50" t="n">
        <f aca="false">ROUND(100*((N('Player Data'!BE28)&gt;='Model Settings'!$E$45)*'Model Settings'!$F$45+(N('Player Data'!BH28)&gt;='Model Settings'!$E$46)*'Model Settings'!$F$46+(N('Player Data'!U28)&gt;='Model Settings'!$E$47)*'Model Settings'!$F$47+(N('Player Data'!BN28)&gt;='Model Settings'!$E$48)*'Model Settings'!$F$48+(N('Player Data'!AX28)&gt;='Model Settings'!$E$49)*'Model Settings'!$F$49+(N('Player Data'!BL28)&gt;='Model Settings'!$E$50)*'Model Settings'!$F$50+(N('Player Data'!BI28)&gt;='Model Settings'!$E$51)*'Model Settings'!$F$51)/('Model Settings'!$F$45+'Model Settings'!$F$46+'Model Settings'!$F$47+'Model Settings'!$F$48+'Model Settings'!$F$49+'Model Settings'!$F$50+'Model Settings'!$F$51),0)</f>
        <v>0</v>
      </c>
      <c r="H28" s="34" t="str">
        <f aca="false">IF(AND(B28&lt;'Model Settings'!$E$66,E28&lt;'Model Settings'!$E$68),"Non-problem",IF(E28&gt;='Model Settings'!$E$68,"Financially vulnerable",IF(OR(N('Player Data'!BY28)&gt;=1,N('Player Data'!BX28)&gt;=2,N('Player Data'!BW28)&gt;=3),"Emotionally vulnerable","At-risk")))</f>
        <v>Non-problem</v>
      </c>
      <c r="I28" s="34" t="str">
        <f aca="false">IF(OR(N('Player Data'!BY28)&gt;=1,'Player Data'!BZ28="Yes"),"Alert","None")</f>
        <v>None</v>
      </c>
      <c r="J28" s="34" t="str">
        <f aca="false">IF(OR(B28&gt;='Model Settings'!$E$67,'Player Data'!BM28="Yes",I28="Alert"),"Suppress",IF(AND(B28&gt;='Model Settings'!$E$66,'Player Data'!G28="Yes"),"Review VIP","Allow"))</f>
        <v>Allow</v>
      </c>
      <c r="K28" s="50" t="n">
        <f aca="false">ROUND(100*((N('Player Data'!CH28)&gt;='Model Settings'!$E$52)*'Model Settings'!$F$52+(N('Player Data'!CI28)&gt;='Model Settings'!$E$53)*'Model Settings'!$F$53+(N('Player Data'!R28)&gt;='Model Settings'!$E$54)*'Model Settings'!$F$54+(N('Player Data'!Y28)&gt;='Model Settings'!$E$55)*'Model Settings'!$F$55+(N('Player Data'!AS28)&gt;='Model Settings'!$E$56)*'Model Settings'!$F$56)/('Model Settings'!$F$52+'Model Settings'!$F$53+'Model Settings'!$F$54+'Model Settings'!$F$55+'Model Settings'!$F$56),0)</f>
        <v>0</v>
      </c>
      <c r="L28" s="34" t="str">
        <f aca="false">IF('Player Data'!D28="Spain",ROUND(100*((N('Player Data'!H28)&gt;='Model Settings'!$E$57)*'Model Settings'!$F$57+(N('Player Data'!AI28)&gt;='Model Settings'!$E$58)*'Model Settings'!$F$58+(N('Player Data'!AL28)&gt;='Model Settings'!$E$59)*'Model Settings'!$F$59+(N('Player Data'!M28)&gt;='Model Settings'!$E$60)*'Model Settings'!$F$60+(N('Player Data'!X28)&lt;='Model Settings'!$E$61)*'Model Settings'!$F$61+(N('Player Data'!Y28)&gt;='Model Settings'!$E$62)*'Model Settings'!$F$62+(N('Player Data'!P28)&gt;='Model Settings'!$E$63)*'Model Settings'!$F$63)/('Model Settings'!$F$57+'Model Settings'!$F$58+'Model Settings'!$F$59+'Model Settings'!$F$60+'Model Settings'!$F$61+'Model Settings'!$F$62+'Model Settings'!$F$63),0),"n/a")</f>
        <v>n/a</v>
      </c>
      <c r="M28" s="34" t="str">
        <f aca="false">IF('Player Data'!CA28="None","No contact yet",IF('Player Data'!CA28="Improved","Working",IF('Player Data'!CA28="No change","Review approach","Escalate")))</f>
        <v>No contact yet</v>
      </c>
      <c r="N28" s="49" t="str">
        <f aca="false">IF(OR('Player Data'!BM28="Yes",I28="Alert"),"High",IF(B28&gt;='Model Settings'!$E$67,"High",IF(OR(B28&gt;='Model Settings'!$E$66,D28&gt;='Model Settings'!$E$68,F28&gt;='Model Settings'!$E$68,K28&gt;='Model Settings'!$E$68),"Medium","Low")))</f>
        <v>Low</v>
      </c>
      <c r="O28" s="34" t="str">
        <f aca="false">IF(N28="High","Contact player + review within 48h; stop marketing",IF(N28="Medium","Safer gambling message; monitor weekly","No action; routine monitoring"))</f>
        <v>No action; routine monitoring</v>
      </c>
      <c r="P28" s="34" t="n">
        <f aca="false">IF(OR(N28="High",AND('Model Settings'!$E$70="High+Medium",N28="Medium")),1,0)</f>
        <v>0</v>
      </c>
      <c r="Q28" s="34" t="n">
        <f aca="false">'Player Data'!CM28</f>
        <v>0</v>
      </c>
    </row>
    <row r="29" customFormat="false" ht="15" hidden="false" customHeight="false" outlineLevel="0" collapsed="false">
      <c r="A29" s="49" t="str">
        <f aca="false">'Player Data'!A29</f>
        <v>P024</v>
      </c>
      <c r="B29" s="50" t="n">
        <f aca="false">ROUND(100*((N('Player Data'!U29)&gt;='Model Settings'!$E$5)*'Model Settings'!$F$5+(N('Player Data'!AT29)&gt;='Model Settings'!$E$6)*'Model Settings'!$F$6+(N('Player Data'!BI29)&gt;='Model Settings'!$E$7)*'Model Settings'!$F$7+(N('Player Data'!AL29)&gt;='Model Settings'!$E$8)*'Model Settings'!$F$8+(N('Player Data'!AH29)&gt;='Model Settings'!$E$9)*'Model Settings'!$F$9+(N('Player Data'!B29)&lt;='Model Settings'!$E$10)*'Model Settings'!$F$10+(N('Player Data'!M29)&gt;='Model Settings'!$E$11)*'Model Settings'!$F$11+(N('Player Data'!J29)&lt;='Model Settings'!$E$12)*'Model Settings'!$F$12+(N('Player Data'!V29)&gt;='Model Settings'!$E$13)*'Model Settings'!$F$13+(N('Player Data'!W29)&gt;='Model Settings'!$E$14)*'Model Settings'!$F$14+(N('Player Data'!AE29)&gt;='Model Settings'!$E$15)*'Model Settings'!$F$15+(N('Player Data'!BF29)&gt;='Model Settings'!$E$16)*'Model Settings'!$F$16+(N('Player Data'!AX29)&gt;='Model Settings'!$E$17)*'Model Settings'!$F$17+(N('Player Data'!AP29)&gt;='Model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37</v>
      </c>
      <c r="C29" s="34" t="str">
        <f aca="false">IF('Player Data'!E29&lt;='Model Settings'!$E$69,ROUND(100*((N('Player Data'!H29)&gt;='Model Settings'!$E$19)*'Model Settings'!$F$19+(N('Player Data'!S29)&gt;='Model Settings'!$E$20)*'Model Settings'!$F$20+(N('Player Data'!AH29)&gt;='Model Settings'!$E$21)*'Model Settings'!$F$21+(N('Player Data'!AX29)&gt;='Model Settings'!$E$22)*'Model Settings'!$F$22+(N('Player Data'!Y29)&gt;='Model Settings'!$E$23)*'Model Settings'!$F$23+(N('Player Data'!AM29)&gt;='Model Settings'!$E$24)*'Model Settings'!$F$24)/('Model Settings'!$F$19+'Model Settings'!$F$20+'Model Settings'!$F$21+'Model Settings'!$F$22+'Model Settings'!$F$23+'Model Settings'!$F$24),0),"n/a")</f>
        <v>n/a</v>
      </c>
      <c r="D29" s="50" t="n">
        <f aca="false">ROUND(100*((N('Player Data'!U29)&gt;='Model Settings'!$E$25)*'Model Settings'!$F$25+(N('Player Data'!V29)&gt;='Model Settings'!$E$26)*'Model Settings'!$F$26+(N('Player Data'!W29)&gt;='Model Settings'!$E$27)*'Model Settings'!$F$27+(N('Player Data'!AT29)&gt;='Model Settings'!$E$28)*'Model Settings'!$F$28+(N('Player Data'!AE29)&gt;='Model Settings'!$E$29)*'Model Settings'!$F$29+(N('Player Data'!AO29)&gt;='Model Settings'!$E$30)*'Model Settings'!$F$30+(N('Player Data'!AG29)&gt;='Model Settings'!$E$31)*'Model Settings'!$F$31)/('Model Settings'!$F$25+'Model Settings'!$F$26+'Model Settings'!$F$27+'Model Settings'!$F$28+'Model Settings'!$F$29+'Model Settings'!$F$30+'Model Settings'!$F$31),0)</f>
        <v>29</v>
      </c>
      <c r="E29" s="50" t="n">
        <f aca="false">ROUND(100*((N('Player Data'!Z29)&gt;='Model Settings'!$E$32)*'Model Settings'!$F$32+(N('Player Data'!BN29)&gt;='Model Settings'!$E$33)*'Model Settings'!$F$33+(N('Player Data'!BO29)&gt;='Model Settings'!$E$34)*'Model Settings'!$F$34+(N('Player Data'!BP29)&gt;='Model Settings'!$E$35)*'Model Settings'!$F$35+('Player Data'!BR29='Model Settings'!$E$36)*'Model Settings'!$F$36+(N('Player Data'!AW29)&gt;='Model Settings'!$E$37)*'Model Settings'!$F$37+(N('Player Data'!AF29)&lt;='Model Settings'!$E$38)*'Model Settings'!$F$38)/('Model Settings'!$F$32+'Model Settings'!$F$33+'Model Settings'!$F$34+'Model Settings'!$F$35+'Model Settings'!$F$36+'Model Settings'!$F$37+'Model Settings'!$F$38),0)</f>
        <v>0</v>
      </c>
      <c r="F29" s="50" t="n">
        <f aca="false">ROUND(100*((N('Player Data'!K29)&gt;='Model Settings'!$E$39)*'Model Settings'!$F$39+(N('Player Data'!P29)&gt;='Model Settings'!$E$40)*'Model Settings'!$F$40+(N('Player Data'!M29)&gt;='Model Settings'!$E$41)*'Model Settings'!$F$41+(N('Player Data'!AU29)&gt;='Model Settings'!$E$42)*'Model Settings'!$F$42+(N('Player Data'!CL29)&gt;='Model Settings'!$E$43)*'Model Settings'!$F$43+(N('Player Data'!Q29)&gt;='Model Settings'!$E$44)*'Model Settings'!$F$44)/('Model Settings'!$F$39+'Model Settings'!$F$40+'Model Settings'!$F$41+'Model Settings'!$F$42+'Model Settings'!$F$43+'Model Settings'!$F$44),0)</f>
        <v>67</v>
      </c>
      <c r="G29" s="50" t="n">
        <f aca="false">ROUND(100*((N('Player Data'!BE29)&gt;='Model Settings'!$E$45)*'Model Settings'!$F$45+(N('Player Data'!BH29)&gt;='Model Settings'!$E$46)*'Model Settings'!$F$46+(N('Player Data'!U29)&gt;='Model Settings'!$E$47)*'Model Settings'!$F$47+(N('Player Data'!BN29)&gt;='Model Settings'!$E$48)*'Model Settings'!$F$48+(N('Player Data'!AX29)&gt;='Model Settings'!$E$49)*'Model Settings'!$F$49+(N('Player Data'!BL29)&gt;='Model Settings'!$E$50)*'Model Settings'!$F$50+(N('Player Data'!BI29)&gt;='Model Settings'!$E$51)*'Model Settings'!$F$51)/('Model Settings'!$F$45+'Model Settings'!$F$46+'Model Settings'!$F$47+'Model Settings'!$F$48+'Model Settings'!$F$49+'Model Settings'!$F$50+'Model Settings'!$F$51),0)</f>
        <v>14</v>
      </c>
      <c r="H29" s="34" t="str">
        <f aca="false">IF(AND(B29&lt;'Model Settings'!$E$66,E29&lt;'Model Settings'!$E$68),"Non-problem",IF(E29&gt;='Model Settings'!$E$68,"Financially vulnerable",IF(OR(N('Player Data'!BY29)&gt;=1,N('Player Data'!BX29)&gt;=2,N('Player Data'!BW29)&gt;=3),"Emotionally vulnerable","At-risk")))</f>
        <v>Emotionally vulnerable</v>
      </c>
      <c r="I29" s="34" t="str">
        <f aca="false">IF(OR(N('Player Data'!BY29)&gt;=1,'Player Data'!BZ29="Yes"),"Alert","None")</f>
        <v>None</v>
      </c>
      <c r="J29" s="34" t="str">
        <f aca="false">IF(OR(B29&gt;='Model Settings'!$E$67,'Player Data'!BM29="Yes",I29="Alert"),"Suppress",IF(AND(B29&gt;='Model Settings'!$E$66,'Player Data'!G29="Yes"),"Review VIP","Allow"))</f>
        <v>Allow</v>
      </c>
      <c r="K29" s="50" t="n">
        <f aca="false">ROUND(100*((N('Player Data'!CH29)&gt;='Model Settings'!$E$52)*'Model Settings'!$F$52+(N('Player Data'!CI29)&gt;='Model Settings'!$E$53)*'Model Settings'!$F$53+(N('Player Data'!R29)&gt;='Model Settings'!$E$54)*'Model Settings'!$F$54+(N('Player Data'!Y29)&gt;='Model Settings'!$E$55)*'Model Settings'!$F$55+(N('Player Data'!AS29)&gt;='Model Settings'!$E$56)*'Model Settings'!$F$56)/('Model Settings'!$F$52+'Model Settings'!$F$53+'Model Settings'!$F$54+'Model Settings'!$F$55+'Model Settings'!$F$56),0)</f>
        <v>20</v>
      </c>
      <c r="L29" s="34" t="str">
        <f aca="false">IF('Player Data'!D29="Spain",ROUND(100*((N('Player Data'!H29)&gt;='Model Settings'!$E$57)*'Model Settings'!$F$57+(N('Player Data'!AI29)&gt;='Model Settings'!$E$58)*'Model Settings'!$F$58+(N('Player Data'!AL29)&gt;='Model Settings'!$E$59)*'Model Settings'!$F$59+(N('Player Data'!M29)&gt;='Model Settings'!$E$60)*'Model Settings'!$F$60+(N('Player Data'!X29)&lt;='Model Settings'!$E$61)*'Model Settings'!$F$61+(N('Player Data'!Y29)&gt;='Model Settings'!$E$62)*'Model Settings'!$F$62+(N('Player Data'!P29)&gt;='Model Settings'!$E$63)*'Model Settings'!$F$63)/('Model Settings'!$F$57+'Model Settings'!$F$58+'Model Settings'!$F$59+'Model Settings'!$F$60+'Model Settings'!$F$61+'Model Settings'!$F$62+'Model Settings'!$F$63),0),"n/a")</f>
        <v>n/a</v>
      </c>
      <c r="M29" s="34" t="str">
        <f aca="false">IF('Player Data'!CA29="None","No contact yet",IF('Player Data'!CA29="Improved","Working",IF('Player Data'!CA29="No change","Review approach","Escalate")))</f>
        <v>No contact yet</v>
      </c>
      <c r="N29" s="49" t="str">
        <f aca="false">IF(OR('Player Data'!BM29="Yes",I29="Alert"),"High",IF(B29&gt;='Model Settings'!$E$67,"High",IF(OR(B29&gt;='Model Settings'!$E$66,D29&gt;='Model Settings'!$E$68,F29&gt;='Model Settings'!$E$68,K29&gt;='Model Settings'!$E$68),"Medium","Low")))</f>
        <v>Medium</v>
      </c>
      <c r="O29" s="34" t="str">
        <f aca="false">IF(N29="High","Contact player + review within 48h; stop marketing",IF(N29="Medium","Safer gambling message; monitor weekly","No action; routine monitoring"))</f>
        <v>Safer gambling message; monitor weekly</v>
      </c>
      <c r="P29" s="34" t="n">
        <f aca="false">IF(OR(N29="High",AND('Model Settings'!$E$70="High+Medium",N29="Medium")),1,0)</f>
        <v>0</v>
      </c>
      <c r="Q29" s="34" t="n">
        <f aca="false">'Player Data'!CM29</f>
        <v>0</v>
      </c>
    </row>
    <row r="30" customFormat="false" ht="15" hidden="false" customHeight="false" outlineLevel="0" collapsed="false">
      <c r="A30" s="49" t="str">
        <f aca="false">'Player Data'!A30</f>
        <v>P025</v>
      </c>
      <c r="B30" s="50" t="n">
        <f aca="false">ROUND(100*((N('Player Data'!U30)&gt;='Model Settings'!$E$5)*'Model Settings'!$F$5+(N('Player Data'!AT30)&gt;='Model Settings'!$E$6)*'Model Settings'!$F$6+(N('Player Data'!BI30)&gt;='Model Settings'!$E$7)*'Model Settings'!$F$7+(N('Player Data'!AL30)&gt;='Model Settings'!$E$8)*'Model Settings'!$F$8+(N('Player Data'!AH30)&gt;='Model Settings'!$E$9)*'Model Settings'!$F$9+(N('Player Data'!B30)&lt;='Model Settings'!$E$10)*'Model Settings'!$F$10+(N('Player Data'!M30)&gt;='Model Settings'!$E$11)*'Model Settings'!$F$11+(N('Player Data'!J30)&lt;='Model Settings'!$E$12)*'Model Settings'!$F$12+(N('Player Data'!V30)&gt;='Model Settings'!$E$13)*'Model Settings'!$F$13+(N('Player Data'!W30)&gt;='Model Settings'!$E$14)*'Model Settings'!$F$14+(N('Player Data'!AE30)&gt;='Model Settings'!$E$15)*'Model Settings'!$F$15+(N('Player Data'!BF30)&gt;='Model Settings'!$E$16)*'Model Settings'!$F$16+(N('Player Data'!AX30)&gt;='Model Settings'!$E$17)*'Model Settings'!$F$17+(N('Player Data'!AP30)&gt;='Model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19</v>
      </c>
      <c r="C30" s="34" t="n">
        <f aca="false">IF('Player Data'!E30&lt;='Model Settings'!$E$69,ROUND(100*((N('Player Data'!H30)&gt;='Model Settings'!$E$19)*'Model Settings'!$F$19+(N('Player Data'!S30)&gt;='Model Settings'!$E$20)*'Model Settings'!$F$20+(N('Player Data'!AH30)&gt;='Model Settings'!$E$21)*'Model Settings'!$F$21+(N('Player Data'!AX30)&gt;='Model Settings'!$E$22)*'Model Settings'!$F$22+(N('Player Data'!Y30)&gt;='Model Settings'!$E$23)*'Model Settings'!$F$23+(N('Player Data'!AM30)&gt;='Model Settings'!$E$24)*'Model Settings'!$F$24)/('Model Settings'!$F$19+'Model Settings'!$F$20+'Model Settings'!$F$21+'Model Settings'!$F$22+'Model Settings'!$F$23+'Model Settings'!$F$24),0),"n/a")</f>
        <v>50</v>
      </c>
      <c r="D30" s="50" t="n">
        <f aca="false">ROUND(100*((N('Player Data'!U30)&gt;='Model Settings'!$E$25)*'Model Settings'!$F$25+(N('Player Data'!V30)&gt;='Model Settings'!$E$26)*'Model Settings'!$F$26+(N('Player Data'!W30)&gt;='Model Settings'!$E$27)*'Model Settings'!$F$27+(N('Player Data'!AT30)&gt;='Model Settings'!$E$28)*'Model Settings'!$F$28+(N('Player Data'!AE30)&gt;='Model Settings'!$E$29)*'Model Settings'!$F$29+(N('Player Data'!AO30)&gt;='Model Settings'!$E$30)*'Model Settings'!$F$30+(N('Player Data'!AG30)&gt;='Model Settings'!$E$31)*'Model Settings'!$F$31)/('Model Settings'!$F$25+'Model Settings'!$F$26+'Model Settings'!$F$27+'Model Settings'!$F$28+'Model Settings'!$F$29+'Model Settings'!$F$30+'Model Settings'!$F$31),0)</f>
        <v>29</v>
      </c>
      <c r="E30" s="50" t="n">
        <f aca="false">ROUND(100*((N('Player Data'!Z30)&gt;='Model Settings'!$E$32)*'Model Settings'!$F$32+(N('Player Data'!BN30)&gt;='Model Settings'!$E$33)*'Model Settings'!$F$33+(N('Player Data'!BO30)&gt;='Model Settings'!$E$34)*'Model Settings'!$F$34+(N('Player Data'!BP30)&gt;='Model Settings'!$E$35)*'Model Settings'!$F$35+('Player Data'!BR30='Model Settings'!$E$36)*'Model Settings'!$F$36+(N('Player Data'!AW30)&gt;='Model Settings'!$E$37)*'Model Settings'!$F$37+(N('Player Data'!AF30)&lt;='Model Settings'!$E$38)*'Model Settings'!$F$38)/('Model Settings'!$F$32+'Model Settings'!$F$33+'Model Settings'!$F$34+'Model Settings'!$F$35+'Model Settings'!$F$36+'Model Settings'!$F$37+'Model Settings'!$F$38),0)</f>
        <v>14</v>
      </c>
      <c r="F30" s="50" t="n">
        <f aca="false">ROUND(100*((N('Player Data'!K30)&gt;='Model Settings'!$E$39)*'Model Settings'!$F$39+(N('Player Data'!P30)&gt;='Model Settings'!$E$40)*'Model Settings'!$F$40+(N('Player Data'!M30)&gt;='Model Settings'!$E$41)*'Model Settings'!$F$41+(N('Player Data'!AU30)&gt;='Model Settings'!$E$42)*'Model Settings'!$F$42+(N('Player Data'!CL30)&gt;='Model Settings'!$E$43)*'Model Settings'!$F$43+(N('Player Data'!Q30)&gt;='Model Settings'!$E$44)*'Model Settings'!$F$44)/('Model Settings'!$F$39+'Model Settings'!$F$40+'Model Settings'!$F$41+'Model Settings'!$F$42+'Model Settings'!$F$43+'Model Settings'!$F$44),0)</f>
        <v>17</v>
      </c>
      <c r="G30" s="50" t="n">
        <f aca="false">ROUND(100*((N('Player Data'!BE30)&gt;='Model Settings'!$E$45)*'Model Settings'!$F$45+(N('Player Data'!BH30)&gt;='Model Settings'!$E$46)*'Model Settings'!$F$46+(N('Player Data'!U30)&gt;='Model Settings'!$E$47)*'Model Settings'!$F$47+(N('Player Data'!BN30)&gt;='Model Settings'!$E$48)*'Model Settings'!$F$48+(N('Player Data'!AX30)&gt;='Model Settings'!$E$49)*'Model Settings'!$F$49+(N('Player Data'!BL30)&gt;='Model Settings'!$E$50)*'Model Settings'!$F$50+(N('Player Data'!BI30)&gt;='Model Settings'!$E$51)*'Model Settings'!$F$51)/('Model Settings'!$F$45+'Model Settings'!$F$46+'Model Settings'!$F$47+'Model Settings'!$F$48+'Model Settings'!$F$49+'Model Settings'!$F$50+'Model Settings'!$F$51),0)</f>
        <v>14</v>
      </c>
      <c r="H30" s="34" t="str">
        <f aca="false">IF(AND(B30&lt;'Model Settings'!$E$66,E30&lt;'Model Settings'!$E$68),"Non-problem",IF(E30&gt;='Model Settings'!$E$68,"Financially vulnerable",IF(OR(N('Player Data'!BY30)&gt;=1,N('Player Data'!BX30)&gt;=2,N('Player Data'!BW30)&gt;=3),"Emotionally vulnerable","At-risk")))</f>
        <v>Non-problem</v>
      </c>
      <c r="I30" s="34" t="str">
        <f aca="false">IF(OR(N('Player Data'!BY30)&gt;=1,'Player Data'!BZ30="Yes"),"Alert","None")</f>
        <v>None</v>
      </c>
      <c r="J30" s="34" t="str">
        <f aca="false">IF(OR(B30&gt;='Model Settings'!$E$67,'Player Data'!BM30="Yes",I30="Alert"),"Suppress",IF(AND(B30&gt;='Model Settings'!$E$66,'Player Data'!G30="Yes"),"Review VIP","Allow"))</f>
        <v>Allow</v>
      </c>
      <c r="K30" s="50" t="n">
        <f aca="false">ROUND(100*((N('Player Data'!CH30)&gt;='Model Settings'!$E$52)*'Model Settings'!$F$52+(N('Player Data'!CI30)&gt;='Model Settings'!$E$53)*'Model Settings'!$F$53+(N('Player Data'!R30)&gt;='Model Settings'!$E$54)*'Model Settings'!$F$54+(N('Player Data'!Y30)&gt;='Model Settings'!$E$55)*'Model Settings'!$F$55+(N('Player Data'!AS30)&gt;='Model Settings'!$E$56)*'Model Settings'!$F$56)/('Model Settings'!$F$52+'Model Settings'!$F$53+'Model Settings'!$F$54+'Model Settings'!$F$55+'Model Settings'!$F$56),0)</f>
        <v>20</v>
      </c>
      <c r="L30" s="34" t="str">
        <f aca="false">IF('Player Data'!D30="Spain",ROUND(100*((N('Player Data'!H30)&gt;='Model Settings'!$E$57)*'Model Settings'!$F$57+(N('Player Data'!AI30)&gt;='Model Settings'!$E$58)*'Model Settings'!$F$58+(N('Player Data'!AL30)&gt;='Model Settings'!$E$59)*'Model Settings'!$F$59+(N('Player Data'!M30)&gt;='Model Settings'!$E$60)*'Model Settings'!$F$60+(N('Player Data'!X30)&lt;='Model Settings'!$E$61)*'Model Settings'!$F$61+(N('Player Data'!Y30)&gt;='Model Settings'!$E$62)*'Model Settings'!$F$62+(N('Player Data'!P30)&gt;='Model Settings'!$E$63)*'Model Settings'!$F$63)/('Model Settings'!$F$57+'Model Settings'!$F$58+'Model Settings'!$F$59+'Model Settings'!$F$60+'Model Settings'!$F$61+'Model Settings'!$F$62+'Model Settings'!$F$63),0),"n/a")</f>
        <v>n/a</v>
      </c>
      <c r="M30" s="34" t="str">
        <f aca="false">IF('Player Data'!CA30="None","No contact yet",IF('Player Data'!CA30="Improved","Working",IF('Player Data'!CA30="No change","Review approach","Escalate")))</f>
        <v>No contact yet</v>
      </c>
      <c r="N30" s="49" t="str">
        <f aca="false">IF(OR('Player Data'!BM30="Yes",I30="Alert"),"High",IF(B30&gt;='Model Settings'!$E$67,"High",IF(OR(B30&gt;='Model Settings'!$E$66,D30&gt;='Model Settings'!$E$68,F30&gt;='Model Settings'!$E$68,K30&gt;='Model Settings'!$E$68),"Medium","Low")))</f>
        <v>Low</v>
      </c>
      <c r="O30" s="34" t="str">
        <f aca="false">IF(N30="High","Contact player + review within 48h; stop marketing",IF(N30="Medium","Safer gambling message; monitor weekly","No action; routine monitoring"))</f>
        <v>No action; routine monitoring</v>
      </c>
      <c r="P30" s="34" t="n">
        <f aca="false">IF(OR(N30="High",AND('Model Settings'!$E$70="High+Medium",N30="Medium")),1,0)</f>
        <v>0</v>
      </c>
      <c r="Q30" s="34" t="n">
        <f aca="false">'Player Data'!CM30</f>
        <v>0</v>
      </c>
    </row>
    <row r="31" customFormat="false" ht="15" hidden="false" customHeight="false" outlineLevel="0" collapsed="false">
      <c r="A31" s="49" t="str">
        <f aca="false">'Player Data'!A31</f>
        <v>P026</v>
      </c>
      <c r="B31" s="50" t="n">
        <f aca="false">ROUND(100*((N('Player Data'!U31)&gt;='Model Settings'!$E$5)*'Model Settings'!$F$5+(N('Player Data'!AT31)&gt;='Model Settings'!$E$6)*'Model Settings'!$F$6+(N('Player Data'!BI31)&gt;='Model Settings'!$E$7)*'Model Settings'!$F$7+(N('Player Data'!AL31)&gt;='Model Settings'!$E$8)*'Model Settings'!$F$8+(N('Player Data'!AH31)&gt;='Model Settings'!$E$9)*'Model Settings'!$F$9+(N('Player Data'!B31)&lt;='Model Settings'!$E$10)*'Model Settings'!$F$10+(N('Player Data'!M31)&gt;='Model Settings'!$E$11)*'Model Settings'!$F$11+(N('Player Data'!J31)&lt;='Model Settings'!$E$12)*'Model Settings'!$F$12+(N('Player Data'!V31)&gt;='Model Settings'!$E$13)*'Model Settings'!$F$13+(N('Player Data'!W31)&gt;='Model Settings'!$E$14)*'Model Settings'!$F$14+(N('Player Data'!AE31)&gt;='Model Settings'!$E$15)*'Model Settings'!$F$15+(N('Player Data'!BF31)&gt;='Model Settings'!$E$16)*'Model Settings'!$F$16+(N('Player Data'!AX31)&gt;='Model Settings'!$E$17)*'Model Settings'!$F$17+(N('Player Data'!AP31)&gt;='Model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31" s="34" t="str">
        <f aca="false">IF('Player Data'!E31&lt;='Model Settings'!$E$69,ROUND(100*((N('Player Data'!H31)&gt;='Model Settings'!$E$19)*'Model Settings'!$F$19+(N('Player Data'!S31)&gt;='Model Settings'!$E$20)*'Model Settings'!$F$20+(N('Player Data'!AH31)&gt;='Model Settings'!$E$21)*'Model Settings'!$F$21+(N('Player Data'!AX31)&gt;='Model Settings'!$E$22)*'Model Settings'!$F$22+(N('Player Data'!Y31)&gt;='Model Settings'!$E$23)*'Model Settings'!$F$23+(N('Player Data'!AM31)&gt;='Model Settings'!$E$24)*'Model Settings'!$F$24)/('Model Settings'!$F$19+'Model Settings'!$F$20+'Model Settings'!$F$21+'Model Settings'!$F$22+'Model Settings'!$F$23+'Model Settings'!$F$24),0),"n/a")</f>
        <v>n/a</v>
      </c>
      <c r="D31" s="50" t="n">
        <f aca="false">ROUND(100*((N('Player Data'!U31)&gt;='Model Settings'!$E$25)*'Model Settings'!$F$25+(N('Player Data'!V31)&gt;='Model Settings'!$E$26)*'Model Settings'!$F$26+(N('Player Data'!W31)&gt;='Model Settings'!$E$27)*'Model Settings'!$F$27+(N('Player Data'!AT31)&gt;='Model Settings'!$E$28)*'Model Settings'!$F$28+(N('Player Data'!AE31)&gt;='Model Settings'!$E$29)*'Model Settings'!$F$29+(N('Player Data'!AO31)&gt;='Model Settings'!$E$30)*'Model Settings'!$F$30+(N('Player Data'!AG31)&gt;='Model Settings'!$E$31)*'Model Settings'!$F$31)/('Model Settings'!$F$25+'Model Settings'!$F$26+'Model Settings'!$F$27+'Model Settings'!$F$28+'Model Settings'!$F$29+'Model Settings'!$F$30+'Model Settings'!$F$31),0)</f>
        <v>14</v>
      </c>
      <c r="E31" s="50" t="n">
        <f aca="false">ROUND(100*((N('Player Data'!Z31)&gt;='Model Settings'!$E$32)*'Model Settings'!$F$32+(N('Player Data'!BN31)&gt;='Model Settings'!$E$33)*'Model Settings'!$F$33+(N('Player Data'!BO31)&gt;='Model Settings'!$E$34)*'Model Settings'!$F$34+(N('Player Data'!BP31)&gt;='Model Settings'!$E$35)*'Model Settings'!$F$35+('Player Data'!BR31='Model Settings'!$E$36)*'Model Settings'!$F$36+(N('Player Data'!AW31)&gt;='Model Settings'!$E$37)*'Model Settings'!$F$37+(N('Player Data'!AF31)&lt;='Model Settings'!$E$38)*'Model Settings'!$F$38)/('Model Settings'!$F$32+'Model Settings'!$F$33+'Model Settings'!$F$34+'Model Settings'!$F$35+'Model Settings'!$F$36+'Model Settings'!$F$37+'Model Settings'!$F$38),0)</f>
        <v>0</v>
      </c>
      <c r="F31" s="50" t="n">
        <f aca="false">ROUND(100*((N('Player Data'!K31)&gt;='Model Settings'!$E$39)*'Model Settings'!$F$39+(N('Player Data'!P31)&gt;='Model Settings'!$E$40)*'Model Settings'!$F$40+(N('Player Data'!M31)&gt;='Model Settings'!$E$41)*'Model Settings'!$F$41+(N('Player Data'!AU31)&gt;='Model Settings'!$E$42)*'Model Settings'!$F$42+(N('Player Data'!CL31)&gt;='Model Settings'!$E$43)*'Model Settings'!$F$43+(N('Player Data'!Q31)&gt;='Model Settings'!$E$44)*'Model Settings'!$F$44)/('Model Settings'!$F$39+'Model Settings'!$F$40+'Model Settings'!$F$41+'Model Settings'!$F$42+'Model Settings'!$F$43+'Model Settings'!$F$44),0)</f>
        <v>0</v>
      </c>
      <c r="G31" s="50" t="n">
        <f aca="false">ROUND(100*((N('Player Data'!BE31)&gt;='Model Settings'!$E$45)*'Model Settings'!$F$45+(N('Player Data'!BH31)&gt;='Model Settings'!$E$46)*'Model Settings'!$F$46+(N('Player Data'!U31)&gt;='Model Settings'!$E$47)*'Model Settings'!$F$47+(N('Player Data'!BN31)&gt;='Model Settings'!$E$48)*'Model Settings'!$F$48+(N('Player Data'!AX31)&gt;='Model Settings'!$E$49)*'Model Settings'!$F$49+(N('Player Data'!BL31)&gt;='Model Settings'!$E$50)*'Model Settings'!$F$50+(N('Player Data'!BI31)&gt;='Model Settings'!$E$51)*'Model Settings'!$F$51)/('Model Settings'!$F$45+'Model Settings'!$F$46+'Model Settings'!$F$47+'Model Settings'!$F$48+'Model Settings'!$F$49+'Model Settings'!$F$50+'Model Settings'!$F$51),0)</f>
        <v>0</v>
      </c>
      <c r="H31" s="34" t="str">
        <f aca="false">IF(AND(B31&lt;'Model Settings'!$E$66,E31&lt;'Model Settings'!$E$68),"Non-problem",IF(E31&gt;='Model Settings'!$E$68,"Financially vulnerable",IF(OR(N('Player Data'!BY31)&gt;=1,N('Player Data'!BX31)&gt;=2,N('Player Data'!BW31)&gt;=3),"Emotionally vulnerable","At-risk")))</f>
        <v>Non-problem</v>
      </c>
      <c r="I31" s="34" t="str">
        <f aca="false">IF(OR(N('Player Data'!BY31)&gt;=1,'Player Data'!BZ31="Yes"),"Alert","None")</f>
        <v>None</v>
      </c>
      <c r="J31" s="34" t="str">
        <f aca="false">IF(OR(B31&gt;='Model Settings'!$E$67,'Player Data'!BM31="Yes",I31="Alert"),"Suppress",IF(AND(B31&gt;='Model Settings'!$E$66,'Player Data'!G31="Yes"),"Review VIP","Allow"))</f>
        <v>Allow</v>
      </c>
      <c r="K31" s="50" t="n">
        <f aca="false">ROUND(100*((N('Player Data'!CH31)&gt;='Model Settings'!$E$52)*'Model Settings'!$F$52+(N('Player Data'!CI31)&gt;='Model Settings'!$E$53)*'Model Settings'!$F$53+(N('Player Data'!R31)&gt;='Model Settings'!$E$54)*'Model Settings'!$F$54+(N('Player Data'!Y31)&gt;='Model Settings'!$E$55)*'Model Settings'!$F$55+(N('Player Data'!AS31)&gt;='Model Settings'!$E$56)*'Model Settings'!$F$56)/('Model Settings'!$F$52+'Model Settings'!$F$53+'Model Settings'!$F$54+'Model Settings'!$F$55+'Model Settings'!$F$56),0)</f>
        <v>0</v>
      </c>
      <c r="L31" s="34" t="str">
        <f aca="false">IF('Player Data'!D31="Spain",ROUND(100*((N('Player Data'!H31)&gt;='Model Settings'!$E$57)*'Model Settings'!$F$57+(N('Player Data'!AI31)&gt;='Model Settings'!$E$58)*'Model Settings'!$F$58+(N('Player Data'!AL31)&gt;='Model Settings'!$E$59)*'Model Settings'!$F$59+(N('Player Data'!M31)&gt;='Model Settings'!$E$60)*'Model Settings'!$F$60+(N('Player Data'!X31)&lt;='Model Settings'!$E$61)*'Model Settings'!$F$61+(N('Player Data'!Y31)&gt;='Model Settings'!$E$62)*'Model Settings'!$F$62+(N('Player Data'!P31)&gt;='Model Settings'!$E$63)*'Model Settings'!$F$63)/('Model Settings'!$F$57+'Model Settings'!$F$58+'Model Settings'!$F$59+'Model Settings'!$F$60+'Model Settings'!$F$61+'Model Settings'!$F$62+'Model Settings'!$F$63),0),"n/a")</f>
        <v>n/a</v>
      </c>
      <c r="M31" s="34" t="str">
        <f aca="false">IF('Player Data'!CA31="None","No contact yet",IF('Player Data'!CA31="Improved","Working",IF('Player Data'!CA31="No change","Review approach","Escalate")))</f>
        <v>No contact yet</v>
      </c>
      <c r="N31" s="49" t="str">
        <f aca="false">IF(OR('Player Data'!BM31="Yes",I31="Alert"),"High",IF(B31&gt;='Model Settings'!$E$67,"High",IF(OR(B31&gt;='Model Settings'!$E$66,D31&gt;='Model Settings'!$E$68,F31&gt;='Model Settings'!$E$68,K31&gt;='Model Settings'!$E$68),"Medium","Low")))</f>
        <v>Low</v>
      </c>
      <c r="O31" s="34" t="str">
        <f aca="false">IF(N31="High","Contact player + review within 48h; stop marketing",IF(N31="Medium","Safer gambling message; monitor weekly","No action; routine monitoring"))</f>
        <v>No action; routine monitoring</v>
      </c>
      <c r="P31" s="34" t="n">
        <f aca="false">IF(OR(N31="High",AND('Model Settings'!$E$70="High+Medium",N31="Medium")),1,0)</f>
        <v>0</v>
      </c>
      <c r="Q31" s="34" t="n">
        <f aca="false">'Player Data'!CM31</f>
        <v>0</v>
      </c>
    </row>
    <row r="32" customFormat="false" ht="15" hidden="false" customHeight="false" outlineLevel="0" collapsed="false">
      <c r="A32" s="49" t="str">
        <f aca="false">'Player Data'!A32</f>
        <v>P027</v>
      </c>
      <c r="B32" s="50" t="n">
        <f aca="false">ROUND(100*((N('Player Data'!U32)&gt;='Model Settings'!$E$5)*'Model Settings'!$F$5+(N('Player Data'!AT32)&gt;='Model Settings'!$E$6)*'Model Settings'!$F$6+(N('Player Data'!BI32)&gt;='Model Settings'!$E$7)*'Model Settings'!$F$7+(N('Player Data'!AL32)&gt;='Model Settings'!$E$8)*'Model Settings'!$F$8+(N('Player Data'!AH32)&gt;='Model Settings'!$E$9)*'Model Settings'!$F$9+(N('Player Data'!B32)&lt;='Model Settings'!$E$10)*'Model Settings'!$F$10+(N('Player Data'!M32)&gt;='Model Settings'!$E$11)*'Model Settings'!$F$11+(N('Player Data'!J32)&lt;='Model Settings'!$E$12)*'Model Settings'!$F$12+(N('Player Data'!V32)&gt;='Model Settings'!$E$13)*'Model Settings'!$F$13+(N('Player Data'!W32)&gt;='Model Settings'!$E$14)*'Model Settings'!$F$14+(N('Player Data'!AE32)&gt;='Model Settings'!$E$15)*'Model Settings'!$F$15+(N('Player Data'!BF32)&gt;='Model Settings'!$E$16)*'Model Settings'!$F$16+(N('Player Data'!AX32)&gt;='Model Settings'!$E$17)*'Model Settings'!$F$17+(N('Player Data'!AP32)&gt;='Model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32" s="34" t="str">
        <f aca="false">IF('Player Data'!E32&lt;='Model Settings'!$E$69,ROUND(100*((N('Player Data'!H32)&gt;='Model Settings'!$E$19)*'Model Settings'!$F$19+(N('Player Data'!S32)&gt;='Model Settings'!$E$20)*'Model Settings'!$F$20+(N('Player Data'!AH32)&gt;='Model Settings'!$E$21)*'Model Settings'!$F$21+(N('Player Data'!AX32)&gt;='Model Settings'!$E$22)*'Model Settings'!$F$22+(N('Player Data'!Y32)&gt;='Model Settings'!$E$23)*'Model Settings'!$F$23+(N('Player Data'!AM32)&gt;='Model Settings'!$E$24)*'Model Settings'!$F$24)/('Model Settings'!$F$19+'Model Settings'!$F$20+'Model Settings'!$F$21+'Model Settings'!$F$22+'Model Settings'!$F$23+'Model Settings'!$F$24),0),"n/a")</f>
        <v>n/a</v>
      </c>
      <c r="D32" s="50" t="n">
        <f aca="false">ROUND(100*((N('Player Data'!U32)&gt;='Model Settings'!$E$25)*'Model Settings'!$F$25+(N('Player Data'!V32)&gt;='Model Settings'!$E$26)*'Model Settings'!$F$26+(N('Player Data'!W32)&gt;='Model Settings'!$E$27)*'Model Settings'!$F$27+(N('Player Data'!AT32)&gt;='Model Settings'!$E$28)*'Model Settings'!$F$28+(N('Player Data'!AE32)&gt;='Model Settings'!$E$29)*'Model Settings'!$F$29+(N('Player Data'!AO32)&gt;='Model Settings'!$E$30)*'Model Settings'!$F$30+(N('Player Data'!AG32)&gt;='Model Settings'!$E$31)*'Model Settings'!$F$31)/('Model Settings'!$F$25+'Model Settings'!$F$26+'Model Settings'!$F$27+'Model Settings'!$F$28+'Model Settings'!$F$29+'Model Settings'!$F$30+'Model Settings'!$F$31),0)</f>
        <v>0</v>
      </c>
      <c r="E32" s="50" t="n">
        <f aca="false">ROUND(100*((N('Player Data'!Z32)&gt;='Model Settings'!$E$32)*'Model Settings'!$F$32+(N('Player Data'!BN32)&gt;='Model Settings'!$E$33)*'Model Settings'!$F$33+(N('Player Data'!BO32)&gt;='Model Settings'!$E$34)*'Model Settings'!$F$34+(N('Player Data'!BP32)&gt;='Model Settings'!$E$35)*'Model Settings'!$F$35+('Player Data'!BR32='Model Settings'!$E$36)*'Model Settings'!$F$36+(N('Player Data'!AW32)&gt;='Model Settings'!$E$37)*'Model Settings'!$F$37+(N('Player Data'!AF32)&lt;='Model Settings'!$E$38)*'Model Settings'!$F$38)/('Model Settings'!$F$32+'Model Settings'!$F$33+'Model Settings'!$F$34+'Model Settings'!$F$35+'Model Settings'!$F$36+'Model Settings'!$F$37+'Model Settings'!$F$38),0)</f>
        <v>0</v>
      </c>
      <c r="F32" s="50" t="n">
        <f aca="false">ROUND(100*((N('Player Data'!K32)&gt;='Model Settings'!$E$39)*'Model Settings'!$F$39+(N('Player Data'!P32)&gt;='Model Settings'!$E$40)*'Model Settings'!$F$40+(N('Player Data'!M32)&gt;='Model Settings'!$E$41)*'Model Settings'!$F$41+(N('Player Data'!AU32)&gt;='Model Settings'!$E$42)*'Model Settings'!$F$42+(N('Player Data'!CL32)&gt;='Model Settings'!$E$43)*'Model Settings'!$F$43+(N('Player Data'!Q32)&gt;='Model Settings'!$E$44)*'Model Settings'!$F$44)/('Model Settings'!$F$39+'Model Settings'!$F$40+'Model Settings'!$F$41+'Model Settings'!$F$42+'Model Settings'!$F$43+'Model Settings'!$F$44),0)</f>
        <v>0</v>
      </c>
      <c r="G32" s="50" t="n">
        <f aca="false">ROUND(100*((N('Player Data'!BE32)&gt;='Model Settings'!$E$45)*'Model Settings'!$F$45+(N('Player Data'!BH32)&gt;='Model Settings'!$E$46)*'Model Settings'!$F$46+(N('Player Data'!U32)&gt;='Model Settings'!$E$47)*'Model Settings'!$F$47+(N('Player Data'!BN32)&gt;='Model Settings'!$E$48)*'Model Settings'!$F$48+(N('Player Data'!AX32)&gt;='Model Settings'!$E$49)*'Model Settings'!$F$49+(N('Player Data'!BL32)&gt;='Model Settings'!$E$50)*'Model Settings'!$F$50+(N('Player Data'!BI32)&gt;='Model Settings'!$E$51)*'Model Settings'!$F$51)/('Model Settings'!$F$45+'Model Settings'!$F$46+'Model Settings'!$F$47+'Model Settings'!$F$48+'Model Settings'!$F$49+'Model Settings'!$F$50+'Model Settings'!$F$51),0)</f>
        <v>0</v>
      </c>
      <c r="H32" s="34" t="str">
        <f aca="false">IF(AND(B32&lt;'Model Settings'!$E$66,E32&lt;'Model Settings'!$E$68),"Non-problem",IF(E32&gt;='Model Settings'!$E$68,"Financially vulnerable",IF(OR(N('Player Data'!BY32)&gt;=1,N('Player Data'!BX32)&gt;=2,N('Player Data'!BW32)&gt;=3),"Emotionally vulnerable","At-risk")))</f>
        <v>Non-problem</v>
      </c>
      <c r="I32" s="34" t="str">
        <f aca="false">IF(OR(N('Player Data'!BY32)&gt;=1,'Player Data'!BZ32="Yes"),"Alert","None")</f>
        <v>None</v>
      </c>
      <c r="J32" s="34" t="str">
        <f aca="false">IF(OR(B32&gt;='Model Settings'!$E$67,'Player Data'!BM32="Yes",I32="Alert"),"Suppress",IF(AND(B32&gt;='Model Settings'!$E$66,'Player Data'!G32="Yes"),"Review VIP","Allow"))</f>
        <v>Allow</v>
      </c>
      <c r="K32" s="50" t="n">
        <f aca="false">ROUND(100*((N('Player Data'!CH32)&gt;='Model Settings'!$E$52)*'Model Settings'!$F$52+(N('Player Data'!CI32)&gt;='Model Settings'!$E$53)*'Model Settings'!$F$53+(N('Player Data'!R32)&gt;='Model Settings'!$E$54)*'Model Settings'!$F$54+(N('Player Data'!Y32)&gt;='Model Settings'!$E$55)*'Model Settings'!$F$55+(N('Player Data'!AS32)&gt;='Model Settings'!$E$56)*'Model Settings'!$F$56)/('Model Settings'!$F$52+'Model Settings'!$F$53+'Model Settings'!$F$54+'Model Settings'!$F$55+'Model Settings'!$F$56),0)</f>
        <v>0</v>
      </c>
      <c r="L32" s="34" t="str">
        <f aca="false">IF('Player Data'!D32="Spain",ROUND(100*((N('Player Data'!H32)&gt;='Model Settings'!$E$57)*'Model Settings'!$F$57+(N('Player Data'!AI32)&gt;='Model Settings'!$E$58)*'Model Settings'!$F$58+(N('Player Data'!AL32)&gt;='Model Settings'!$E$59)*'Model Settings'!$F$59+(N('Player Data'!M32)&gt;='Model Settings'!$E$60)*'Model Settings'!$F$60+(N('Player Data'!X32)&lt;='Model Settings'!$E$61)*'Model Settings'!$F$61+(N('Player Data'!Y32)&gt;='Model Settings'!$E$62)*'Model Settings'!$F$62+(N('Player Data'!P32)&gt;='Model Settings'!$E$63)*'Model Settings'!$F$63)/('Model Settings'!$F$57+'Model Settings'!$F$58+'Model Settings'!$F$59+'Model Settings'!$F$60+'Model Settings'!$F$61+'Model Settings'!$F$62+'Model Settings'!$F$63),0),"n/a")</f>
        <v>n/a</v>
      </c>
      <c r="M32" s="34" t="str">
        <f aca="false">IF('Player Data'!CA32="None","No contact yet",IF('Player Data'!CA32="Improved","Working",IF('Player Data'!CA32="No change","Review approach","Escalate")))</f>
        <v>Working</v>
      </c>
      <c r="N32" s="49" t="str">
        <f aca="false">IF(OR('Player Data'!BM32="Yes",I32="Alert"),"High",IF(B32&gt;='Model Settings'!$E$67,"High",IF(OR(B32&gt;='Model Settings'!$E$66,D32&gt;='Model Settings'!$E$68,F32&gt;='Model Settings'!$E$68,K32&gt;='Model Settings'!$E$68),"Medium","Low")))</f>
        <v>Low</v>
      </c>
      <c r="O32" s="34" t="str">
        <f aca="false">IF(N32="High","Contact player + review within 48h; stop marketing",IF(N32="Medium","Safer gambling message; monitor weekly","No action; routine monitoring"))</f>
        <v>No action; routine monitoring</v>
      </c>
      <c r="P32" s="34" t="n">
        <f aca="false">IF(OR(N32="High",AND('Model Settings'!$E$70="High+Medium",N32="Medium")),1,0)</f>
        <v>0</v>
      </c>
      <c r="Q32" s="34" t="n">
        <f aca="false">'Player Data'!CM32</f>
        <v>0</v>
      </c>
    </row>
    <row r="33" customFormat="false" ht="15" hidden="false" customHeight="false" outlineLevel="0" collapsed="false">
      <c r="A33" s="49" t="str">
        <f aca="false">'Player Data'!A33</f>
        <v>P028</v>
      </c>
      <c r="B33" s="50" t="n">
        <f aca="false">ROUND(100*((N('Player Data'!U33)&gt;='Model Settings'!$E$5)*'Model Settings'!$F$5+(N('Player Data'!AT33)&gt;='Model Settings'!$E$6)*'Model Settings'!$F$6+(N('Player Data'!BI33)&gt;='Model Settings'!$E$7)*'Model Settings'!$F$7+(N('Player Data'!AL33)&gt;='Model Settings'!$E$8)*'Model Settings'!$F$8+(N('Player Data'!AH33)&gt;='Model Settings'!$E$9)*'Model Settings'!$F$9+(N('Player Data'!B33)&lt;='Model Settings'!$E$10)*'Model Settings'!$F$10+(N('Player Data'!M33)&gt;='Model Settings'!$E$11)*'Model Settings'!$F$11+(N('Player Data'!J33)&lt;='Model Settings'!$E$12)*'Model Settings'!$F$12+(N('Player Data'!V33)&gt;='Model Settings'!$E$13)*'Model Settings'!$F$13+(N('Player Data'!W33)&gt;='Model Settings'!$E$14)*'Model Settings'!$F$14+(N('Player Data'!AE33)&gt;='Model Settings'!$E$15)*'Model Settings'!$F$15+(N('Player Data'!BF33)&gt;='Model Settings'!$E$16)*'Model Settings'!$F$16+(N('Player Data'!AX33)&gt;='Model Settings'!$E$17)*'Model Settings'!$F$17+(N('Player Data'!AP33)&gt;='Model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33" s="34" t="str">
        <f aca="false">IF('Player Data'!E33&lt;='Model Settings'!$E$69,ROUND(100*((N('Player Data'!H33)&gt;='Model Settings'!$E$19)*'Model Settings'!$F$19+(N('Player Data'!S33)&gt;='Model Settings'!$E$20)*'Model Settings'!$F$20+(N('Player Data'!AH33)&gt;='Model Settings'!$E$21)*'Model Settings'!$F$21+(N('Player Data'!AX33)&gt;='Model Settings'!$E$22)*'Model Settings'!$F$22+(N('Player Data'!Y33)&gt;='Model Settings'!$E$23)*'Model Settings'!$F$23+(N('Player Data'!AM33)&gt;='Model Settings'!$E$24)*'Model Settings'!$F$24)/('Model Settings'!$F$19+'Model Settings'!$F$20+'Model Settings'!$F$21+'Model Settings'!$F$22+'Model Settings'!$F$23+'Model Settings'!$F$24),0),"n/a")</f>
        <v>n/a</v>
      </c>
      <c r="D33" s="50" t="n">
        <f aca="false">ROUND(100*((N('Player Data'!U33)&gt;='Model Settings'!$E$25)*'Model Settings'!$F$25+(N('Player Data'!V33)&gt;='Model Settings'!$E$26)*'Model Settings'!$F$26+(N('Player Data'!W33)&gt;='Model Settings'!$E$27)*'Model Settings'!$F$27+(N('Player Data'!AT33)&gt;='Model Settings'!$E$28)*'Model Settings'!$F$28+(N('Player Data'!AE33)&gt;='Model Settings'!$E$29)*'Model Settings'!$F$29+(N('Player Data'!AO33)&gt;='Model Settings'!$E$30)*'Model Settings'!$F$30+(N('Player Data'!AG33)&gt;='Model Settings'!$E$31)*'Model Settings'!$F$31)/('Model Settings'!$F$25+'Model Settings'!$F$26+'Model Settings'!$F$27+'Model Settings'!$F$28+'Model Settings'!$F$29+'Model Settings'!$F$30+'Model Settings'!$F$31),0)</f>
        <v>0</v>
      </c>
      <c r="E33" s="50" t="n">
        <f aca="false">ROUND(100*((N('Player Data'!Z33)&gt;='Model Settings'!$E$32)*'Model Settings'!$F$32+(N('Player Data'!BN33)&gt;='Model Settings'!$E$33)*'Model Settings'!$F$33+(N('Player Data'!BO33)&gt;='Model Settings'!$E$34)*'Model Settings'!$F$34+(N('Player Data'!BP33)&gt;='Model Settings'!$E$35)*'Model Settings'!$F$35+('Player Data'!BR33='Model Settings'!$E$36)*'Model Settings'!$F$36+(N('Player Data'!AW33)&gt;='Model Settings'!$E$37)*'Model Settings'!$F$37+(N('Player Data'!AF33)&lt;='Model Settings'!$E$38)*'Model Settings'!$F$38)/('Model Settings'!$F$32+'Model Settings'!$F$33+'Model Settings'!$F$34+'Model Settings'!$F$35+'Model Settings'!$F$36+'Model Settings'!$F$37+'Model Settings'!$F$38),0)</f>
        <v>0</v>
      </c>
      <c r="F33" s="50" t="n">
        <f aca="false">ROUND(100*((N('Player Data'!K33)&gt;='Model Settings'!$E$39)*'Model Settings'!$F$39+(N('Player Data'!P33)&gt;='Model Settings'!$E$40)*'Model Settings'!$F$40+(N('Player Data'!M33)&gt;='Model Settings'!$E$41)*'Model Settings'!$F$41+(N('Player Data'!AU33)&gt;='Model Settings'!$E$42)*'Model Settings'!$F$42+(N('Player Data'!CL33)&gt;='Model Settings'!$E$43)*'Model Settings'!$F$43+(N('Player Data'!Q33)&gt;='Model Settings'!$E$44)*'Model Settings'!$F$44)/('Model Settings'!$F$39+'Model Settings'!$F$40+'Model Settings'!$F$41+'Model Settings'!$F$42+'Model Settings'!$F$43+'Model Settings'!$F$44),0)</f>
        <v>0</v>
      </c>
      <c r="G33" s="50" t="n">
        <f aca="false">ROUND(100*((N('Player Data'!BE33)&gt;='Model Settings'!$E$45)*'Model Settings'!$F$45+(N('Player Data'!BH33)&gt;='Model Settings'!$E$46)*'Model Settings'!$F$46+(N('Player Data'!U33)&gt;='Model Settings'!$E$47)*'Model Settings'!$F$47+(N('Player Data'!BN33)&gt;='Model Settings'!$E$48)*'Model Settings'!$F$48+(N('Player Data'!AX33)&gt;='Model Settings'!$E$49)*'Model Settings'!$F$49+(N('Player Data'!BL33)&gt;='Model Settings'!$E$50)*'Model Settings'!$F$50+(N('Player Data'!BI33)&gt;='Model Settings'!$E$51)*'Model Settings'!$F$51)/('Model Settings'!$F$45+'Model Settings'!$F$46+'Model Settings'!$F$47+'Model Settings'!$F$48+'Model Settings'!$F$49+'Model Settings'!$F$50+'Model Settings'!$F$51),0)</f>
        <v>0</v>
      </c>
      <c r="H33" s="34" t="str">
        <f aca="false">IF(AND(B33&lt;'Model Settings'!$E$66,E33&lt;'Model Settings'!$E$68),"Non-problem",IF(E33&gt;='Model Settings'!$E$68,"Financially vulnerable",IF(OR(N('Player Data'!BY33)&gt;=1,N('Player Data'!BX33)&gt;=2,N('Player Data'!BW33)&gt;=3),"Emotionally vulnerable","At-risk")))</f>
        <v>Non-problem</v>
      </c>
      <c r="I33" s="34" t="str">
        <f aca="false">IF(OR(N('Player Data'!BY33)&gt;=1,'Player Data'!BZ33="Yes"),"Alert","None")</f>
        <v>None</v>
      </c>
      <c r="J33" s="34" t="str">
        <f aca="false">IF(OR(B33&gt;='Model Settings'!$E$67,'Player Data'!BM33="Yes",I33="Alert"),"Suppress",IF(AND(B33&gt;='Model Settings'!$E$66,'Player Data'!G33="Yes"),"Review VIP","Allow"))</f>
        <v>Allow</v>
      </c>
      <c r="K33" s="50" t="n">
        <f aca="false">ROUND(100*((N('Player Data'!CH33)&gt;='Model Settings'!$E$52)*'Model Settings'!$F$52+(N('Player Data'!CI33)&gt;='Model Settings'!$E$53)*'Model Settings'!$F$53+(N('Player Data'!R33)&gt;='Model Settings'!$E$54)*'Model Settings'!$F$54+(N('Player Data'!Y33)&gt;='Model Settings'!$E$55)*'Model Settings'!$F$55+(N('Player Data'!AS33)&gt;='Model Settings'!$E$56)*'Model Settings'!$F$56)/('Model Settings'!$F$52+'Model Settings'!$F$53+'Model Settings'!$F$54+'Model Settings'!$F$55+'Model Settings'!$F$56),0)</f>
        <v>20</v>
      </c>
      <c r="L33" s="34" t="str">
        <f aca="false">IF('Player Data'!D33="Spain",ROUND(100*((N('Player Data'!H33)&gt;='Model Settings'!$E$57)*'Model Settings'!$F$57+(N('Player Data'!AI33)&gt;='Model Settings'!$E$58)*'Model Settings'!$F$58+(N('Player Data'!AL33)&gt;='Model Settings'!$E$59)*'Model Settings'!$F$59+(N('Player Data'!M33)&gt;='Model Settings'!$E$60)*'Model Settings'!$F$60+(N('Player Data'!X33)&lt;='Model Settings'!$E$61)*'Model Settings'!$F$61+(N('Player Data'!Y33)&gt;='Model Settings'!$E$62)*'Model Settings'!$F$62+(N('Player Data'!P33)&gt;='Model Settings'!$E$63)*'Model Settings'!$F$63)/('Model Settings'!$F$57+'Model Settings'!$F$58+'Model Settings'!$F$59+'Model Settings'!$F$60+'Model Settings'!$F$61+'Model Settings'!$F$62+'Model Settings'!$F$63),0),"n/a")</f>
        <v>n/a</v>
      </c>
      <c r="M33" s="34" t="str">
        <f aca="false">IF('Player Data'!CA33="None","No contact yet",IF('Player Data'!CA33="Improved","Working",IF('Player Data'!CA33="No change","Review approach","Escalate")))</f>
        <v>No contact yet</v>
      </c>
      <c r="N33" s="49" t="str">
        <f aca="false">IF(OR('Player Data'!BM33="Yes",I33="Alert"),"High",IF(B33&gt;='Model Settings'!$E$67,"High",IF(OR(B33&gt;='Model Settings'!$E$66,D33&gt;='Model Settings'!$E$68,F33&gt;='Model Settings'!$E$68,K33&gt;='Model Settings'!$E$68),"Medium","Low")))</f>
        <v>Low</v>
      </c>
      <c r="O33" s="34" t="str">
        <f aca="false">IF(N33="High","Contact player + review within 48h; stop marketing",IF(N33="Medium","Safer gambling message; monitor weekly","No action; routine monitoring"))</f>
        <v>No action; routine monitoring</v>
      </c>
      <c r="P33" s="34" t="n">
        <f aca="false">IF(OR(N33="High",AND('Model Settings'!$E$70="High+Medium",N33="Medium")),1,0)</f>
        <v>0</v>
      </c>
      <c r="Q33" s="34" t="n">
        <f aca="false">'Player Data'!CM33</f>
        <v>0</v>
      </c>
    </row>
    <row r="34" customFormat="false" ht="15" hidden="false" customHeight="false" outlineLevel="0" collapsed="false">
      <c r="A34" s="49" t="str">
        <f aca="false">'Player Data'!A34</f>
        <v>P029</v>
      </c>
      <c r="B34" s="50" t="n">
        <f aca="false">ROUND(100*((N('Player Data'!U34)&gt;='Model Settings'!$E$5)*'Model Settings'!$F$5+(N('Player Data'!AT34)&gt;='Model Settings'!$E$6)*'Model Settings'!$F$6+(N('Player Data'!BI34)&gt;='Model Settings'!$E$7)*'Model Settings'!$F$7+(N('Player Data'!AL34)&gt;='Model Settings'!$E$8)*'Model Settings'!$F$8+(N('Player Data'!AH34)&gt;='Model Settings'!$E$9)*'Model Settings'!$F$9+(N('Player Data'!B34)&lt;='Model Settings'!$E$10)*'Model Settings'!$F$10+(N('Player Data'!M34)&gt;='Model Settings'!$E$11)*'Model Settings'!$F$11+(N('Player Data'!J34)&lt;='Model Settings'!$E$12)*'Model Settings'!$F$12+(N('Player Data'!V34)&gt;='Model Settings'!$E$13)*'Model Settings'!$F$13+(N('Player Data'!W34)&gt;='Model Settings'!$E$14)*'Model Settings'!$F$14+(N('Player Data'!AE34)&gt;='Model Settings'!$E$15)*'Model Settings'!$F$15+(N('Player Data'!BF34)&gt;='Model Settings'!$E$16)*'Model Settings'!$F$16+(N('Player Data'!AX34)&gt;='Model Settings'!$E$17)*'Model Settings'!$F$17+(N('Player Data'!AP34)&gt;='Model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33</v>
      </c>
      <c r="C34" s="34" t="str">
        <f aca="false">IF('Player Data'!E34&lt;='Model Settings'!$E$69,ROUND(100*((N('Player Data'!H34)&gt;='Model Settings'!$E$19)*'Model Settings'!$F$19+(N('Player Data'!S34)&gt;='Model Settings'!$E$20)*'Model Settings'!$F$20+(N('Player Data'!AH34)&gt;='Model Settings'!$E$21)*'Model Settings'!$F$21+(N('Player Data'!AX34)&gt;='Model Settings'!$E$22)*'Model Settings'!$F$22+(N('Player Data'!Y34)&gt;='Model Settings'!$E$23)*'Model Settings'!$F$23+(N('Player Data'!AM34)&gt;='Model Settings'!$E$24)*'Model Settings'!$F$24)/('Model Settings'!$F$19+'Model Settings'!$F$20+'Model Settings'!$F$21+'Model Settings'!$F$22+'Model Settings'!$F$23+'Model Settings'!$F$24),0),"n/a")</f>
        <v>n/a</v>
      </c>
      <c r="D34" s="50" t="n">
        <f aca="false">ROUND(100*((N('Player Data'!U34)&gt;='Model Settings'!$E$25)*'Model Settings'!$F$25+(N('Player Data'!V34)&gt;='Model Settings'!$E$26)*'Model Settings'!$F$26+(N('Player Data'!W34)&gt;='Model Settings'!$E$27)*'Model Settings'!$F$27+(N('Player Data'!AT34)&gt;='Model Settings'!$E$28)*'Model Settings'!$F$28+(N('Player Data'!AE34)&gt;='Model Settings'!$E$29)*'Model Settings'!$F$29+(N('Player Data'!AO34)&gt;='Model Settings'!$E$30)*'Model Settings'!$F$30+(N('Player Data'!AG34)&gt;='Model Settings'!$E$31)*'Model Settings'!$F$31)/('Model Settings'!$F$25+'Model Settings'!$F$26+'Model Settings'!$F$27+'Model Settings'!$F$28+'Model Settings'!$F$29+'Model Settings'!$F$30+'Model Settings'!$F$31),0)</f>
        <v>43</v>
      </c>
      <c r="E34" s="50" t="n">
        <f aca="false">ROUND(100*((N('Player Data'!Z34)&gt;='Model Settings'!$E$32)*'Model Settings'!$F$32+(N('Player Data'!BN34)&gt;='Model Settings'!$E$33)*'Model Settings'!$F$33+(N('Player Data'!BO34)&gt;='Model Settings'!$E$34)*'Model Settings'!$F$34+(N('Player Data'!BP34)&gt;='Model Settings'!$E$35)*'Model Settings'!$F$35+('Player Data'!BR34='Model Settings'!$E$36)*'Model Settings'!$F$36+(N('Player Data'!AW34)&gt;='Model Settings'!$E$37)*'Model Settings'!$F$37+(N('Player Data'!AF34)&lt;='Model Settings'!$E$38)*'Model Settings'!$F$38)/('Model Settings'!$F$32+'Model Settings'!$F$33+'Model Settings'!$F$34+'Model Settings'!$F$35+'Model Settings'!$F$36+'Model Settings'!$F$37+'Model Settings'!$F$38),0)</f>
        <v>14</v>
      </c>
      <c r="F34" s="50" t="n">
        <f aca="false">ROUND(100*((N('Player Data'!K34)&gt;='Model Settings'!$E$39)*'Model Settings'!$F$39+(N('Player Data'!P34)&gt;='Model Settings'!$E$40)*'Model Settings'!$F$40+(N('Player Data'!M34)&gt;='Model Settings'!$E$41)*'Model Settings'!$F$41+(N('Player Data'!AU34)&gt;='Model Settings'!$E$42)*'Model Settings'!$F$42+(N('Player Data'!CL34)&gt;='Model Settings'!$E$43)*'Model Settings'!$F$43+(N('Player Data'!Q34)&gt;='Model Settings'!$E$44)*'Model Settings'!$F$44)/('Model Settings'!$F$39+'Model Settings'!$F$40+'Model Settings'!$F$41+'Model Settings'!$F$42+'Model Settings'!$F$43+'Model Settings'!$F$44),0)</f>
        <v>50</v>
      </c>
      <c r="G34" s="50" t="n">
        <f aca="false">ROUND(100*((N('Player Data'!BE34)&gt;='Model Settings'!$E$45)*'Model Settings'!$F$45+(N('Player Data'!BH34)&gt;='Model Settings'!$E$46)*'Model Settings'!$F$46+(N('Player Data'!U34)&gt;='Model Settings'!$E$47)*'Model Settings'!$F$47+(N('Player Data'!BN34)&gt;='Model Settings'!$E$48)*'Model Settings'!$F$48+(N('Player Data'!AX34)&gt;='Model Settings'!$E$49)*'Model Settings'!$F$49+(N('Player Data'!BL34)&gt;='Model Settings'!$E$50)*'Model Settings'!$F$50+(N('Player Data'!BI34)&gt;='Model Settings'!$E$51)*'Model Settings'!$F$51)/('Model Settings'!$F$45+'Model Settings'!$F$46+'Model Settings'!$F$47+'Model Settings'!$F$48+'Model Settings'!$F$49+'Model Settings'!$F$50+'Model Settings'!$F$51),0)</f>
        <v>29</v>
      </c>
      <c r="H34" s="34" t="str">
        <f aca="false">IF(AND(B34&lt;'Model Settings'!$E$66,E34&lt;'Model Settings'!$E$68),"Non-problem",IF(E34&gt;='Model Settings'!$E$68,"Financially vulnerable",IF(OR(N('Player Data'!BY34)&gt;=1,N('Player Data'!BX34)&gt;=2,N('Player Data'!BW34)&gt;=3),"Emotionally vulnerable","At-risk")))</f>
        <v>At-risk</v>
      </c>
      <c r="I34" s="34" t="str">
        <f aca="false">IF(OR(N('Player Data'!BY34)&gt;=1,'Player Data'!BZ34="Yes"),"Alert","None")</f>
        <v>None</v>
      </c>
      <c r="J34" s="34" t="str">
        <f aca="false">IF(OR(B34&gt;='Model Settings'!$E$67,'Player Data'!BM34="Yes",I34="Alert"),"Suppress",IF(AND(B34&gt;='Model Settings'!$E$66,'Player Data'!G34="Yes"),"Review VIP","Allow"))</f>
        <v>Allow</v>
      </c>
      <c r="K34" s="50" t="n">
        <f aca="false">ROUND(100*((N('Player Data'!CH34)&gt;='Model Settings'!$E$52)*'Model Settings'!$F$52+(N('Player Data'!CI34)&gt;='Model Settings'!$E$53)*'Model Settings'!$F$53+(N('Player Data'!R34)&gt;='Model Settings'!$E$54)*'Model Settings'!$F$54+(N('Player Data'!Y34)&gt;='Model Settings'!$E$55)*'Model Settings'!$F$55+(N('Player Data'!AS34)&gt;='Model Settings'!$E$56)*'Model Settings'!$F$56)/('Model Settings'!$F$52+'Model Settings'!$F$53+'Model Settings'!$F$54+'Model Settings'!$F$55+'Model Settings'!$F$56),0)</f>
        <v>20</v>
      </c>
      <c r="L34" s="34" t="n">
        <f aca="false">IF('Player Data'!D34="Spain",ROUND(100*((N('Player Data'!H34)&gt;='Model Settings'!$E$57)*'Model Settings'!$F$57+(N('Player Data'!AI34)&gt;='Model Settings'!$E$58)*'Model Settings'!$F$58+(N('Player Data'!AL34)&gt;='Model Settings'!$E$59)*'Model Settings'!$F$59+(N('Player Data'!M34)&gt;='Model Settings'!$E$60)*'Model Settings'!$F$60+(N('Player Data'!X34)&lt;='Model Settings'!$E$61)*'Model Settings'!$F$61+(N('Player Data'!Y34)&gt;='Model Settings'!$E$62)*'Model Settings'!$F$62+(N('Player Data'!P34)&gt;='Model Settings'!$E$63)*'Model Settings'!$F$63)/('Model Settings'!$F$57+'Model Settings'!$F$58+'Model Settings'!$F$59+'Model Settings'!$F$60+'Model Settings'!$F$61+'Model Settings'!$F$62+'Model Settings'!$F$63),0),"n/a")</f>
        <v>43</v>
      </c>
      <c r="M34" s="34" t="str">
        <f aca="false">IF('Player Data'!CA34="None","No contact yet",IF('Player Data'!CA34="Improved","Working",IF('Player Data'!CA34="No change","Review approach","Escalate")))</f>
        <v>No contact yet</v>
      </c>
      <c r="N34" s="49" t="str">
        <f aca="false">IF(OR('Player Data'!BM34="Yes",I34="Alert"),"High",IF(B34&gt;='Model Settings'!$E$67,"High",IF(OR(B34&gt;='Model Settings'!$E$66,D34&gt;='Model Settings'!$E$68,F34&gt;='Model Settings'!$E$68,K34&gt;='Model Settings'!$E$68),"Medium","Low")))</f>
        <v>Medium</v>
      </c>
      <c r="O34" s="34" t="str">
        <f aca="false">IF(N34="High","Contact player + review within 48h; stop marketing",IF(N34="Medium","Safer gambling message; monitor weekly","No action; routine monitoring"))</f>
        <v>Safer gambling message; monitor weekly</v>
      </c>
      <c r="P34" s="34" t="n">
        <f aca="false">IF(OR(N34="High",AND('Model Settings'!$E$70="High+Medium",N34="Medium")),1,0)</f>
        <v>0</v>
      </c>
      <c r="Q34" s="34" t="n">
        <f aca="false">'Player Data'!CM34</f>
        <v>0</v>
      </c>
    </row>
    <row r="35" customFormat="false" ht="15" hidden="false" customHeight="false" outlineLevel="0" collapsed="false">
      <c r="A35" s="49" t="str">
        <f aca="false">'Player Data'!A35</f>
        <v>P030</v>
      </c>
      <c r="B35" s="50" t="n">
        <f aca="false">ROUND(100*((N('Player Data'!U35)&gt;='Model Settings'!$E$5)*'Model Settings'!$F$5+(N('Player Data'!AT35)&gt;='Model Settings'!$E$6)*'Model Settings'!$F$6+(N('Player Data'!BI35)&gt;='Model Settings'!$E$7)*'Model Settings'!$F$7+(N('Player Data'!AL35)&gt;='Model Settings'!$E$8)*'Model Settings'!$F$8+(N('Player Data'!AH35)&gt;='Model Settings'!$E$9)*'Model Settings'!$F$9+(N('Player Data'!B35)&lt;='Model Settings'!$E$10)*'Model Settings'!$F$10+(N('Player Data'!M35)&gt;='Model Settings'!$E$11)*'Model Settings'!$F$11+(N('Player Data'!J35)&lt;='Model Settings'!$E$12)*'Model Settings'!$F$12+(N('Player Data'!V35)&gt;='Model Settings'!$E$13)*'Model Settings'!$F$13+(N('Player Data'!W35)&gt;='Model Settings'!$E$14)*'Model Settings'!$F$14+(N('Player Data'!AE35)&gt;='Model Settings'!$E$15)*'Model Settings'!$F$15+(N('Player Data'!BF35)&gt;='Model Settings'!$E$16)*'Model Settings'!$F$16+(N('Player Data'!AX35)&gt;='Model Settings'!$E$17)*'Model Settings'!$F$17+(N('Player Data'!AP35)&gt;='Model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35" s="34" t="str">
        <f aca="false">IF('Player Data'!E35&lt;='Model Settings'!$E$69,ROUND(100*((N('Player Data'!H35)&gt;='Model Settings'!$E$19)*'Model Settings'!$F$19+(N('Player Data'!S35)&gt;='Model Settings'!$E$20)*'Model Settings'!$F$20+(N('Player Data'!AH35)&gt;='Model Settings'!$E$21)*'Model Settings'!$F$21+(N('Player Data'!AX35)&gt;='Model Settings'!$E$22)*'Model Settings'!$F$22+(N('Player Data'!Y35)&gt;='Model Settings'!$E$23)*'Model Settings'!$F$23+(N('Player Data'!AM35)&gt;='Model Settings'!$E$24)*'Model Settings'!$F$24)/('Model Settings'!$F$19+'Model Settings'!$F$20+'Model Settings'!$F$21+'Model Settings'!$F$22+'Model Settings'!$F$23+'Model Settings'!$F$24),0),"n/a")</f>
        <v>n/a</v>
      </c>
      <c r="D35" s="50" t="n">
        <f aca="false">ROUND(100*((N('Player Data'!U35)&gt;='Model Settings'!$E$25)*'Model Settings'!$F$25+(N('Player Data'!V35)&gt;='Model Settings'!$E$26)*'Model Settings'!$F$26+(N('Player Data'!W35)&gt;='Model Settings'!$E$27)*'Model Settings'!$F$27+(N('Player Data'!AT35)&gt;='Model Settings'!$E$28)*'Model Settings'!$F$28+(N('Player Data'!AE35)&gt;='Model Settings'!$E$29)*'Model Settings'!$F$29+(N('Player Data'!AO35)&gt;='Model Settings'!$E$30)*'Model Settings'!$F$30+(N('Player Data'!AG35)&gt;='Model Settings'!$E$31)*'Model Settings'!$F$31)/('Model Settings'!$F$25+'Model Settings'!$F$26+'Model Settings'!$F$27+'Model Settings'!$F$28+'Model Settings'!$F$29+'Model Settings'!$F$30+'Model Settings'!$F$31),0)</f>
        <v>0</v>
      </c>
      <c r="E35" s="50" t="n">
        <f aca="false">ROUND(100*((N('Player Data'!Z35)&gt;='Model Settings'!$E$32)*'Model Settings'!$F$32+(N('Player Data'!BN35)&gt;='Model Settings'!$E$33)*'Model Settings'!$F$33+(N('Player Data'!BO35)&gt;='Model Settings'!$E$34)*'Model Settings'!$F$34+(N('Player Data'!BP35)&gt;='Model Settings'!$E$35)*'Model Settings'!$F$35+('Player Data'!BR35='Model Settings'!$E$36)*'Model Settings'!$F$36+(N('Player Data'!AW35)&gt;='Model Settings'!$E$37)*'Model Settings'!$F$37+(N('Player Data'!AF35)&lt;='Model Settings'!$E$38)*'Model Settings'!$F$38)/('Model Settings'!$F$32+'Model Settings'!$F$33+'Model Settings'!$F$34+'Model Settings'!$F$35+'Model Settings'!$F$36+'Model Settings'!$F$37+'Model Settings'!$F$38),0)</f>
        <v>14</v>
      </c>
      <c r="F35" s="50" t="n">
        <f aca="false">ROUND(100*((N('Player Data'!K35)&gt;='Model Settings'!$E$39)*'Model Settings'!$F$39+(N('Player Data'!P35)&gt;='Model Settings'!$E$40)*'Model Settings'!$F$40+(N('Player Data'!M35)&gt;='Model Settings'!$E$41)*'Model Settings'!$F$41+(N('Player Data'!AU35)&gt;='Model Settings'!$E$42)*'Model Settings'!$F$42+(N('Player Data'!CL35)&gt;='Model Settings'!$E$43)*'Model Settings'!$F$43+(N('Player Data'!Q35)&gt;='Model Settings'!$E$44)*'Model Settings'!$F$44)/('Model Settings'!$F$39+'Model Settings'!$F$40+'Model Settings'!$F$41+'Model Settings'!$F$42+'Model Settings'!$F$43+'Model Settings'!$F$44),0)</f>
        <v>0</v>
      </c>
      <c r="G35" s="50" t="n">
        <f aca="false">ROUND(100*((N('Player Data'!BE35)&gt;='Model Settings'!$E$45)*'Model Settings'!$F$45+(N('Player Data'!BH35)&gt;='Model Settings'!$E$46)*'Model Settings'!$F$46+(N('Player Data'!U35)&gt;='Model Settings'!$E$47)*'Model Settings'!$F$47+(N('Player Data'!BN35)&gt;='Model Settings'!$E$48)*'Model Settings'!$F$48+(N('Player Data'!AX35)&gt;='Model Settings'!$E$49)*'Model Settings'!$F$49+(N('Player Data'!BL35)&gt;='Model Settings'!$E$50)*'Model Settings'!$F$50+(N('Player Data'!BI35)&gt;='Model Settings'!$E$51)*'Model Settings'!$F$51)/('Model Settings'!$F$45+'Model Settings'!$F$46+'Model Settings'!$F$47+'Model Settings'!$F$48+'Model Settings'!$F$49+'Model Settings'!$F$50+'Model Settings'!$F$51),0)</f>
        <v>14</v>
      </c>
      <c r="H35" s="34" t="str">
        <f aca="false">IF(AND(B35&lt;'Model Settings'!$E$66,E35&lt;'Model Settings'!$E$68),"Non-problem",IF(E35&gt;='Model Settings'!$E$68,"Financially vulnerable",IF(OR(N('Player Data'!BY35)&gt;=1,N('Player Data'!BX35)&gt;=2,N('Player Data'!BW35)&gt;=3),"Emotionally vulnerable","At-risk")))</f>
        <v>Non-problem</v>
      </c>
      <c r="I35" s="34" t="str">
        <f aca="false">IF(OR(N('Player Data'!BY35)&gt;=1,'Player Data'!BZ35="Yes"),"Alert","None")</f>
        <v>None</v>
      </c>
      <c r="J35" s="34" t="str">
        <f aca="false">IF(OR(B35&gt;='Model Settings'!$E$67,'Player Data'!BM35="Yes",I35="Alert"),"Suppress",IF(AND(B35&gt;='Model Settings'!$E$66,'Player Data'!G35="Yes"),"Review VIP","Allow"))</f>
        <v>Allow</v>
      </c>
      <c r="K35" s="50" t="n">
        <f aca="false">ROUND(100*((N('Player Data'!CH35)&gt;='Model Settings'!$E$52)*'Model Settings'!$F$52+(N('Player Data'!CI35)&gt;='Model Settings'!$E$53)*'Model Settings'!$F$53+(N('Player Data'!R35)&gt;='Model Settings'!$E$54)*'Model Settings'!$F$54+(N('Player Data'!Y35)&gt;='Model Settings'!$E$55)*'Model Settings'!$F$55+(N('Player Data'!AS35)&gt;='Model Settings'!$E$56)*'Model Settings'!$F$56)/('Model Settings'!$F$52+'Model Settings'!$F$53+'Model Settings'!$F$54+'Model Settings'!$F$55+'Model Settings'!$F$56),0)</f>
        <v>20</v>
      </c>
      <c r="L35" s="34" t="str">
        <f aca="false">IF('Player Data'!D35="Spain",ROUND(100*((N('Player Data'!H35)&gt;='Model Settings'!$E$57)*'Model Settings'!$F$57+(N('Player Data'!AI35)&gt;='Model Settings'!$E$58)*'Model Settings'!$F$58+(N('Player Data'!AL35)&gt;='Model Settings'!$E$59)*'Model Settings'!$F$59+(N('Player Data'!M35)&gt;='Model Settings'!$E$60)*'Model Settings'!$F$60+(N('Player Data'!X35)&lt;='Model Settings'!$E$61)*'Model Settings'!$F$61+(N('Player Data'!Y35)&gt;='Model Settings'!$E$62)*'Model Settings'!$F$62+(N('Player Data'!P35)&gt;='Model Settings'!$E$63)*'Model Settings'!$F$63)/('Model Settings'!$F$57+'Model Settings'!$F$58+'Model Settings'!$F$59+'Model Settings'!$F$60+'Model Settings'!$F$61+'Model Settings'!$F$62+'Model Settings'!$F$63),0),"n/a")</f>
        <v>n/a</v>
      </c>
      <c r="M35" s="34" t="str">
        <f aca="false">IF('Player Data'!CA35="None","No contact yet",IF('Player Data'!CA35="Improved","Working",IF('Player Data'!CA35="No change","Review approach","Escalate")))</f>
        <v>No contact yet</v>
      </c>
      <c r="N35" s="49" t="str">
        <f aca="false">IF(OR('Player Data'!BM35="Yes",I35="Alert"),"High",IF(B35&gt;='Model Settings'!$E$67,"High",IF(OR(B35&gt;='Model Settings'!$E$66,D35&gt;='Model Settings'!$E$68,F35&gt;='Model Settings'!$E$68,K35&gt;='Model Settings'!$E$68),"Medium","Low")))</f>
        <v>Low</v>
      </c>
      <c r="O35" s="34" t="str">
        <f aca="false">IF(N35="High","Contact player + review within 48h; stop marketing",IF(N35="Medium","Safer gambling message; monitor weekly","No action; routine monitoring"))</f>
        <v>No action; routine monitoring</v>
      </c>
      <c r="P35" s="34" t="n">
        <f aca="false">IF(OR(N35="High",AND('Model Settings'!$E$70="High+Medium",N35="Medium")),1,0)</f>
        <v>0</v>
      </c>
      <c r="Q35" s="34" t="n">
        <f aca="false">'Player Data'!CM35</f>
        <v>0</v>
      </c>
    </row>
    <row r="36" customFormat="false" ht="15" hidden="false" customHeight="false" outlineLevel="0" collapsed="false">
      <c r="A36" s="49" t="str">
        <f aca="false">'Player Data'!A36</f>
        <v>P031</v>
      </c>
      <c r="B36" s="50" t="n">
        <f aca="false">ROUND(100*((N('Player Data'!U36)&gt;='Model Settings'!$E$5)*'Model Settings'!$F$5+(N('Player Data'!AT36)&gt;='Model Settings'!$E$6)*'Model Settings'!$F$6+(N('Player Data'!BI36)&gt;='Model Settings'!$E$7)*'Model Settings'!$F$7+(N('Player Data'!AL36)&gt;='Model Settings'!$E$8)*'Model Settings'!$F$8+(N('Player Data'!AH36)&gt;='Model Settings'!$E$9)*'Model Settings'!$F$9+(N('Player Data'!B36)&lt;='Model Settings'!$E$10)*'Model Settings'!$F$10+(N('Player Data'!M36)&gt;='Model Settings'!$E$11)*'Model Settings'!$F$11+(N('Player Data'!J36)&lt;='Model Settings'!$E$12)*'Model Settings'!$F$12+(N('Player Data'!V36)&gt;='Model Settings'!$E$13)*'Model Settings'!$F$13+(N('Player Data'!W36)&gt;='Model Settings'!$E$14)*'Model Settings'!$F$14+(N('Player Data'!AE36)&gt;='Model Settings'!$E$15)*'Model Settings'!$F$15+(N('Player Data'!BF36)&gt;='Model Settings'!$E$16)*'Model Settings'!$F$16+(N('Player Data'!AX36)&gt;='Model Settings'!$E$17)*'Model Settings'!$F$17+(N('Player Data'!AP36)&gt;='Model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36" s="34" t="str">
        <f aca="false">IF('Player Data'!E36&lt;='Model Settings'!$E$69,ROUND(100*((N('Player Data'!H36)&gt;='Model Settings'!$E$19)*'Model Settings'!$F$19+(N('Player Data'!S36)&gt;='Model Settings'!$E$20)*'Model Settings'!$F$20+(N('Player Data'!AH36)&gt;='Model Settings'!$E$21)*'Model Settings'!$F$21+(N('Player Data'!AX36)&gt;='Model Settings'!$E$22)*'Model Settings'!$F$22+(N('Player Data'!Y36)&gt;='Model Settings'!$E$23)*'Model Settings'!$F$23+(N('Player Data'!AM36)&gt;='Model Settings'!$E$24)*'Model Settings'!$F$24)/('Model Settings'!$F$19+'Model Settings'!$F$20+'Model Settings'!$F$21+'Model Settings'!$F$22+'Model Settings'!$F$23+'Model Settings'!$F$24),0),"n/a")</f>
        <v>n/a</v>
      </c>
      <c r="D36" s="50" t="n">
        <f aca="false">ROUND(100*((N('Player Data'!U36)&gt;='Model Settings'!$E$25)*'Model Settings'!$F$25+(N('Player Data'!V36)&gt;='Model Settings'!$E$26)*'Model Settings'!$F$26+(N('Player Data'!W36)&gt;='Model Settings'!$E$27)*'Model Settings'!$F$27+(N('Player Data'!AT36)&gt;='Model Settings'!$E$28)*'Model Settings'!$F$28+(N('Player Data'!AE36)&gt;='Model Settings'!$E$29)*'Model Settings'!$F$29+(N('Player Data'!AO36)&gt;='Model Settings'!$E$30)*'Model Settings'!$F$30+(N('Player Data'!AG36)&gt;='Model Settings'!$E$31)*'Model Settings'!$F$31)/('Model Settings'!$F$25+'Model Settings'!$F$26+'Model Settings'!$F$27+'Model Settings'!$F$28+'Model Settings'!$F$29+'Model Settings'!$F$30+'Model Settings'!$F$31),0)</f>
        <v>14</v>
      </c>
      <c r="E36" s="50" t="n">
        <f aca="false">ROUND(100*((N('Player Data'!Z36)&gt;='Model Settings'!$E$32)*'Model Settings'!$F$32+(N('Player Data'!BN36)&gt;='Model Settings'!$E$33)*'Model Settings'!$F$33+(N('Player Data'!BO36)&gt;='Model Settings'!$E$34)*'Model Settings'!$F$34+(N('Player Data'!BP36)&gt;='Model Settings'!$E$35)*'Model Settings'!$F$35+('Player Data'!BR36='Model Settings'!$E$36)*'Model Settings'!$F$36+(N('Player Data'!AW36)&gt;='Model Settings'!$E$37)*'Model Settings'!$F$37+(N('Player Data'!AF36)&lt;='Model Settings'!$E$38)*'Model Settings'!$F$38)/('Model Settings'!$F$32+'Model Settings'!$F$33+'Model Settings'!$F$34+'Model Settings'!$F$35+'Model Settings'!$F$36+'Model Settings'!$F$37+'Model Settings'!$F$38),0)</f>
        <v>0</v>
      </c>
      <c r="F36" s="50" t="n">
        <f aca="false">ROUND(100*((N('Player Data'!K36)&gt;='Model Settings'!$E$39)*'Model Settings'!$F$39+(N('Player Data'!P36)&gt;='Model Settings'!$E$40)*'Model Settings'!$F$40+(N('Player Data'!M36)&gt;='Model Settings'!$E$41)*'Model Settings'!$F$41+(N('Player Data'!AU36)&gt;='Model Settings'!$E$42)*'Model Settings'!$F$42+(N('Player Data'!CL36)&gt;='Model Settings'!$E$43)*'Model Settings'!$F$43+(N('Player Data'!Q36)&gt;='Model Settings'!$E$44)*'Model Settings'!$F$44)/('Model Settings'!$F$39+'Model Settings'!$F$40+'Model Settings'!$F$41+'Model Settings'!$F$42+'Model Settings'!$F$43+'Model Settings'!$F$44),0)</f>
        <v>33</v>
      </c>
      <c r="G36" s="50" t="n">
        <f aca="false">ROUND(100*((N('Player Data'!BE36)&gt;='Model Settings'!$E$45)*'Model Settings'!$F$45+(N('Player Data'!BH36)&gt;='Model Settings'!$E$46)*'Model Settings'!$F$46+(N('Player Data'!U36)&gt;='Model Settings'!$E$47)*'Model Settings'!$F$47+(N('Player Data'!BN36)&gt;='Model Settings'!$E$48)*'Model Settings'!$F$48+(N('Player Data'!AX36)&gt;='Model Settings'!$E$49)*'Model Settings'!$F$49+(N('Player Data'!BL36)&gt;='Model Settings'!$E$50)*'Model Settings'!$F$50+(N('Player Data'!BI36)&gt;='Model Settings'!$E$51)*'Model Settings'!$F$51)/('Model Settings'!$F$45+'Model Settings'!$F$46+'Model Settings'!$F$47+'Model Settings'!$F$48+'Model Settings'!$F$49+'Model Settings'!$F$50+'Model Settings'!$F$51),0)</f>
        <v>0</v>
      </c>
      <c r="H36" s="34" t="str">
        <f aca="false">IF(AND(B36&lt;'Model Settings'!$E$66,E36&lt;'Model Settings'!$E$68),"Non-problem",IF(E36&gt;='Model Settings'!$E$68,"Financially vulnerable",IF(OR(N('Player Data'!BY36)&gt;=1,N('Player Data'!BX36)&gt;=2,N('Player Data'!BW36)&gt;=3),"Emotionally vulnerable","At-risk")))</f>
        <v>Non-problem</v>
      </c>
      <c r="I36" s="34" t="str">
        <f aca="false">IF(OR(N('Player Data'!BY36)&gt;=1,'Player Data'!BZ36="Yes"),"Alert","None")</f>
        <v>None</v>
      </c>
      <c r="J36" s="34" t="str">
        <f aca="false">IF(OR(B36&gt;='Model Settings'!$E$67,'Player Data'!BM36="Yes",I36="Alert"),"Suppress",IF(AND(B36&gt;='Model Settings'!$E$66,'Player Data'!G36="Yes"),"Review VIP","Allow"))</f>
        <v>Allow</v>
      </c>
      <c r="K36" s="50" t="n">
        <f aca="false">ROUND(100*((N('Player Data'!CH36)&gt;='Model Settings'!$E$52)*'Model Settings'!$F$52+(N('Player Data'!CI36)&gt;='Model Settings'!$E$53)*'Model Settings'!$F$53+(N('Player Data'!R36)&gt;='Model Settings'!$E$54)*'Model Settings'!$F$54+(N('Player Data'!Y36)&gt;='Model Settings'!$E$55)*'Model Settings'!$F$55+(N('Player Data'!AS36)&gt;='Model Settings'!$E$56)*'Model Settings'!$F$56)/('Model Settings'!$F$52+'Model Settings'!$F$53+'Model Settings'!$F$54+'Model Settings'!$F$55+'Model Settings'!$F$56),0)</f>
        <v>0</v>
      </c>
      <c r="L36" s="34" t="str">
        <f aca="false">IF('Player Data'!D36="Spain",ROUND(100*((N('Player Data'!H36)&gt;='Model Settings'!$E$57)*'Model Settings'!$F$57+(N('Player Data'!AI36)&gt;='Model Settings'!$E$58)*'Model Settings'!$F$58+(N('Player Data'!AL36)&gt;='Model Settings'!$E$59)*'Model Settings'!$F$59+(N('Player Data'!M36)&gt;='Model Settings'!$E$60)*'Model Settings'!$F$60+(N('Player Data'!X36)&lt;='Model Settings'!$E$61)*'Model Settings'!$F$61+(N('Player Data'!Y36)&gt;='Model Settings'!$E$62)*'Model Settings'!$F$62+(N('Player Data'!P36)&gt;='Model Settings'!$E$63)*'Model Settings'!$F$63)/('Model Settings'!$F$57+'Model Settings'!$F$58+'Model Settings'!$F$59+'Model Settings'!$F$60+'Model Settings'!$F$61+'Model Settings'!$F$62+'Model Settings'!$F$63),0),"n/a")</f>
        <v>n/a</v>
      </c>
      <c r="M36" s="34" t="str">
        <f aca="false">IF('Player Data'!CA36="None","No contact yet",IF('Player Data'!CA36="Improved","Working",IF('Player Data'!CA36="No change","Review approach","Escalate")))</f>
        <v>No contact yet</v>
      </c>
      <c r="N36" s="49" t="str">
        <f aca="false">IF(OR('Player Data'!BM36="Yes",I36="Alert"),"High",IF(B36&gt;='Model Settings'!$E$67,"High",IF(OR(B36&gt;='Model Settings'!$E$66,D36&gt;='Model Settings'!$E$68,F36&gt;='Model Settings'!$E$68,K36&gt;='Model Settings'!$E$68),"Medium","Low")))</f>
        <v>Low</v>
      </c>
      <c r="O36" s="34" t="str">
        <f aca="false">IF(N36="High","Contact player + review within 48h; stop marketing",IF(N36="Medium","Safer gambling message; monitor weekly","No action; routine monitoring"))</f>
        <v>No action; routine monitoring</v>
      </c>
      <c r="P36" s="34" t="n">
        <f aca="false">IF(OR(N36="High",AND('Model Settings'!$E$70="High+Medium",N36="Medium")),1,0)</f>
        <v>0</v>
      </c>
      <c r="Q36" s="34" t="n">
        <f aca="false">'Player Data'!CM36</f>
        <v>0</v>
      </c>
    </row>
    <row r="37" customFormat="false" ht="15" hidden="false" customHeight="false" outlineLevel="0" collapsed="false">
      <c r="A37" s="49" t="str">
        <f aca="false">'Player Data'!A37</f>
        <v>P032</v>
      </c>
      <c r="B37" s="50" t="n">
        <f aca="false">ROUND(100*((N('Player Data'!U37)&gt;='Model Settings'!$E$5)*'Model Settings'!$F$5+(N('Player Data'!AT37)&gt;='Model Settings'!$E$6)*'Model Settings'!$F$6+(N('Player Data'!BI37)&gt;='Model Settings'!$E$7)*'Model Settings'!$F$7+(N('Player Data'!AL37)&gt;='Model Settings'!$E$8)*'Model Settings'!$F$8+(N('Player Data'!AH37)&gt;='Model Settings'!$E$9)*'Model Settings'!$F$9+(N('Player Data'!B37)&lt;='Model Settings'!$E$10)*'Model Settings'!$F$10+(N('Player Data'!M37)&gt;='Model Settings'!$E$11)*'Model Settings'!$F$11+(N('Player Data'!J37)&lt;='Model Settings'!$E$12)*'Model Settings'!$F$12+(N('Player Data'!V37)&gt;='Model Settings'!$E$13)*'Model Settings'!$F$13+(N('Player Data'!W37)&gt;='Model Settings'!$E$14)*'Model Settings'!$F$14+(N('Player Data'!AE37)&gt;='Model Settings'!$E$15)*'Model Settings'!$F$15+(N('Player Data'!BF37)&gt;='Model Settings'!$E$16)*'Model Settings'!$F$16+(N('Player Data'!AX37)&gt;='Model Settings'!$E$17)*'Model Settings'!$F$17+(N('Player Data'!AP37)&gt;='Model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37" s="34" t="str">
        <f aca="false">IF('Player Data'!E37&lt;='Model Settings'!$E$69,ROUND(100*((N('Player Data'!H37)&gt;='Model Settings'!$E$19)*'Model Settings'!$F$19+(N('Player Data'!S37)&gt;='Model Settings'!$E$20)*'Model Settings'!$F$20+(N('Player Data'!AH37)&gt;='Model Settings'!$E$21)*'Model Settings'!$F$21+(N('Player Data'!AX37)&gt;='Model Settings'!$E$22)*'Model Settings'!$F$22+(N('Player Data'!Y37)&gt;='Model Settings'!$E$23)*'Model Settings'!$F$23+(N('Player Data'!AM37)&gt;='Model Settings'!$E$24)*'Model Settings'!$F$24)/('Model Settings'!$F$19+'Model Settings'!$F$20+'Model Settings'!$F$21+'Model Settings'!$F$22+'Model Settings'!$F$23+'Model Settings'!$F$24),0),"n/a")</f>
        <v>n/a</v>
      </c>
      <c r="D37" s="50" t="n">
        <f aca="false">ROUND(100*((N('Player Data'!U37)&gt;='Model Settings'!$E$25)*'Model Settings'!$F$25+(N('Player Data'!V37)&gt;='Model Settings'!$E$26)*'Model Settings'!$F$26+(N('Player Data'!W37)&gt;='Model Settings'!$E$27)*'Model Settings'!$F$27+(N('Player Data'!AT37)&gt;='Model Settings'!$E$28)*'Model Settings'!$F$28+(N('Player Data'!AE37)&gt;='Model Settings'!$E$29)*'Model Settings'!$F$29+(N('Player Data'!AO37)&gt;='Model Settings'!$E$30)*'Model Settings'!$F$30+(N('Player Data'!AG37)&gt;='Model Settings'!$E$31)*'Model Settings'!$F$31)/('Model Settings'!$F$25+'Model Settings'!$F$26+'Model Settings'!$F$27+'Model Settings'!$F$28+'Model Settings'!$F$29+'Model Settings'!$F$30+'Model Settings'!$F$31),0)</f>
        <v>0</v>
      </c>
      <c r="E37" s="50" t="n">
        <f aca="false">ROUND(100*((N('Player Data'!Z37)&gt;='Model Settings'!$E$32)*'Model Settings'!$F$32+(N('Player Data'!BN37)&gt;='Model Settings'!$E$33)*'Model Settings'!$F$33+(N('Player Data'!BO37)&gt;='Model Settings'!$E$34)*'Model Settings'!$F$34+(N('Player Data'!BP37)&gt;='Model Settings'!$E$35)*'Model Settings'!$F$35+('Player Data'!BR37='Model Settings'!$E$36)*'Model Settings'!$F$36+(N('Player Data'!AW37)&gt;='Model Settings'!$E$37)*'Model Settings'!$F$37+(N('Player Data'!AF37)&lt;='Model Settings'!$E$38)*'Model Settings'!$F$38)/('Model Settings'!$F$32+'Model Settings'!$F$33+'Model Settings'!$F$34+'Model Settings'!$F$35+'Model Settings'!$F$36+'Model Settings'!$F$37+'Model Settings'!$F$38),0)</f>
        <v>0</v>
      </c>
      <c r="F37" s="50" t="n">
        <f aca="false">ROUND(100*((N('Player Data'!K37)&gt;='Model Settings'!$E$39)*'Model Settings'!$F$39+(N('Player Data'!P37)&gt;='Model Settings'!$E$40)*'Model Settings'!$F$40+(N('Player Data'!M37)&gt;='Model Settings'!$E$41)*'Model Settings'!$F$41+(N('Player Data'!AU37)&gt;='Model Settings'!$E$42)*'Model Settings'!$F$42+(N('Player Data'!CL37)&gt;='Model Settings'!$E$43)*'Model Settings'!$F$43+(N('Player Data'!Q37)&gt;='Model Settings'!$E$44)*'Model Settings'!$F$44)/('Model Settings'!$F$39+'Model Settings'!$F$40+'Model Settings'!$F$41+'Model Settings'!$F$42+'Model Settings'!$F$43+'Model Settings'!$F$44),0)</f>
        <v>33</v>
      </c>
      <c r="G37" s="50" t="n">
        <f aca="false">ROUND(100*((N('Player Data'!BE37)&gt;='Model Settings'!$E$45)*'Model Settings'!$F$45+(N('Player Data'!BH37)&gt;='Model Settings'!$E$46)*'Model Settings'!$F$46+(N('Player Data'!U37)&gt;='Model Settings'!$E$47)*'Model Settings'!$F$47+(N('Player Data'!BN37)&gt;='Model Settings'!$E$48)*'Model Settings'!$F$48+(N('Player Data'!AX37)&gt;='Model Settings'!$E$49)*'Model Settings'!$F$49+(N('Player Data'!BL37)&gt;='Model Settings'!$E$50)*'Model Settings'!$F$50+(N('Player Data'!BI37)&gt;='Model Settings'!$E$51)*'Model Settings'!$F$51)/('Model Settings'!$F$45+'Model Settings'!$F$46+'Model Settings'!$F$47+'Model Settings'!$F$48+'Model Settings'!$F$49+'Model Settings'!$F$50+'Model Settings'!$F$51),0)</f>
        <v>0</v>
      </c>
      <c r="H37" s="34" t="str">
        <f aca="false">IF(AND(B37&lt;'Model Settings'!$E$66,E37&lt;'Model Settings'!$E$68),"Non-problem",IF(E37&gt;='Model Settings'!$E$68,"Financially vulnerable",IF(OR(N('Player Data'!BY37)&gt;=1,N('Player Data'!BX37)&gt;=2,N('Player Data'!BW37)&gt;=3),"Emotionally vulnerable","At-risk")))</f>
        <v>Non-problem</v>
      </c>
      <c r="I37" s="34" t="str">
        <f aca="false">IF(OR(N('Player Data'!BY37)&gt;=1,'Player Data'!BZ37="Yes"),"Alert","None")</f>
        <v>None</v>
      </c>
      <c r="J37" s="34" t="str">
        <f aca="false">IF(OR(B37&gt;='Model Settings'!$E$67,'Player Data'!BM37="Yes",I37="Alert"),"Suppress",IF(AND(B37&gt;='Model Settings'!$E$66,'Player Data'!G37="Yes"),"Review VIP","Allow"))</f>
        <v>Allow</v>
      </c>
      <c r="K37" s="50" t="n">
        <f aca="false">ROUND(100*((N('Player Data'!CH37)&gt;='Model Settings'!$E$52)*'Model Settings'!$F$52+(N('Player Data'!CI37)&gt;='Model Settings'!$E$53)*'Model Settings'!$F$53+(N('Player Data'!R37)&gt;='Model Settings'!$E$54)*'Model Settings'!$F$54+(N('Player Data'!Y37)&gt;='Model Settings'!$E$55)*'Model Settings'!$F$55+(N('Player Data'!AS37)&gt;='Model Settings'!$E$56)*'Model Settings'!$F$56)/('Model Settings'!$F$52+'Model Settings'!$F$53+'Model Settings'!$F$54+'Model Settings'!$F$55+'Model Settings'!$F$56),0)</f>
        <v>20</v>
      </c>
      <c r="L37" s="34" t="str">
        <f aca="false">IF('Player Data'!D37="Spain",ROUND(100*((N('Player Data'!H37)&gt;='Model Settings'!$E$57)*'Model Settings'!$F$57+(N('Player Data'!AI37)&gt;='Model Settings'!$E$58)*'Model Settings'!$F$58+(N('Player Data'!AL37)&gt;='Model Settings'!$E$59)*'Model Settings'!$F$59+(N('Player Data'!M37)&gt;='Model Settings'!$E$60)*'Model Settings'!$F$60+(N('Player Data'!X37)&lt;='Model Settings'!$E$61)*'Model Settings'!$F$61+(N('Player Data'!Y37)&gt;='Model Settings'!$E$62)*'Model Settings'!$F$62+(N('Player Data'!P37)&gt;='Model Settings'!$E$63)*'Model Settings'!$F$63)/('Model Settings'!$F$57+'Model Settings'!$F$58+'Model Settings'!$F$59+'Model Settings'!$F$60+'Model Settings'!$F$61+'Model Settings'!$F$62+'Model Settings'!$F$63),0),"n/a")</f>
        <v>n/a</v>
      </c>
      <c r="M37" s="34" t="str">
        <f aca="false">IF('Player Data'!CA37="None","No contact yet",IF('Player Data'!CA37="Improved","Working",IF('Player Data'!CA37="No change","Review approach","Escalate")))</f>
        <v>No contact yet</v>
      </c>
      <c r="N37" s="49" t="str">
        <f aca="false">IF(OR('Player Data'!BM37="Yes",I37="Alert"),"High",IF(B37&gt;='Model Settings'!$E$67,"High",IF(OR(B37&gt;='Model Settings'!$E$66,D37&gt;='Model Settings'!$E$68,F37&gt;='Model Settings'!$E$68,K37&gt;='Model Settings'!$E$68),"Medium","Low")))</f>
        <v>Low</v>
      </c>
      <c r="O37" s="34" t="str">
        <f aca="false">IF(N37="High","Contact player + review within 48h; stop marketing",IF(N37="Medium","Safer gambling message; monitor weekly","No action; routine monitoring"))</f>
        <v>No action; routine monitoring</v>
      </c>
      <c r="P37" s="34" t="n">
        <f aca="false">IF(OR(N37="High",AND('Model Settings'!$E$70="High+Medium",N37="Medium")),1,0)</f>
        <v>0</v>
      </c>
      <c r="Q37" s="34" t="n">
        <f aca="false">'Player Data'!CM37</f>
        <v>0</v>
      </c>
    </row>
    <row r="38" customFormat="false" ht="15" hidden="false" customHeight="false" outlineLevel="0" collapsed="false">
      <c r="A38" s="49" t="str">
        <f aca="false">'Player Data'!A38</f>
        <v>P033</v>
      </c>
      <c r="B38" s="50" t="n">
        <f aca="false">ROUND(100*((N('Player Data'!U38)&gt;='Model Settings'!$E$5)*'Model Settings'!$F$5+(N('Player Data'!AT38)&gt;='Model Settings'!$E$6)*'Model Settings'!$F$6+(N('Player Data'!BI38)&gt;='Model Settings'!$E$7)*'Model Settings'!$F$7+(N('Player Data'!AL38)&gt;='Model Settings'!$E$8)*'Model Settings'!$F$8+(N('Player Data'!AH38)&gt;='Model Settings'!$E$9)*'Model Settings'!$F$9+(N('Player Data'!B38)&lt;='Model Settings'!$E$10)*'Model Settings'!$F$10+(N('Player Data'!M38)&gt;='Model Settings'!$E$11)*'Model Settings'!$F$11+(N('Player Data'!J38)&lt;='Model Settings'!$E$12)*'Model Settings'!$F$12+(N('Player Data'!V38)&gt;='Model Settings'!$E$13)*'Model Settings'!$F$13+(N('Player Data'!W38)&gt;='Model Settings'!$E$14)*'Model Settings'!$F$14+(N('Player Data'!AE38)&gt;='Model Settings'!$E$15)*'Model Settings'!$F$15+(N('Player Data'!BF38)&gt;='Model Settings'!$E$16)*'Model Settings'!$F$16+(N('Player Data'!AX38)&gt;='Model Settings'!$E$17)*'Model Settings'!$F$17+(N('Player Data'!AP38)&gt;='Model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38" s="34" t="str">
        <f aca="false">IF('Player Data'!E38&lt;='Model Settings'!$E$69,ROUND(100*((N('Player Data'!H38)&gt;='Model Settings'!$E$19)*'Model Settings'!$F$19+(N('Player Data'!S38)&gt;='Model Settings'!$E$20)*'Model Settings'!$F$20+(N('Player Data'!AH38)&gt;='Model Settings'!$E$21)*'Model Settings'!$F$21+(N('Player Data'!AX38)&gt;='Model Settings'!$E$22)*'Model Settings'!$F$22+(N('Player Data'!Y38)&gt;='Model Settings'!$E$23)*'Model Settings'!$F$23+(N('Player Data'!AM38)&gt;='Model Settings'!$E$24)*'Model Settings'!$F$24)/('Model Settings'!$F$19+'Model Settings'!$F$20+'Model Settings'!$F$21+'Model Settings'!$F$22+'Model Settings'!$F$23+'Model Settings'!$F$24),0),"n/a")</f>
        <v>n/a</v>
      </c>
      <c r="D38" s="50" t="n">
        <f aca="false">ROUND(100*((N('Player Data'!U38)&gt;='Model Settings'!$E$25)*'Model Settings'!$F$25+(N('Player Data'!V38)&gt;='Model Settings'!$E$26)*'Model Settings'!$F$26+(N('Player Data'!W38)&gt;='Model Settings'!$E$27)*'Model Settings'!$F$27+(N('Player Data'!AT38)&gt;='Model Settings'!$E$28)*'Model Settings'!$F$28+(N('Player Data'!AE38)&gt;='Model Settings'!$E$29)*'Model Settings'!$F$29+(N('Player Data'!AO38)&gt;='Model Settings'!$E$30)*'Model Settings'!$F$30+(N('Player Data'!AG38)&gt;='Model Settings'!$E$31)*'Model Settings'!$F$31)/('Model Settings'!$F$25+'Model Settings'!$F$26+'Model Settings'!$F$27+'Model Settings'!$F$28+'Model Settings'!$F$29+'Model Settings'!$F$30+'Model Settings'!$F$31),0)</f>
        <v>0</v>
      </c>
      <c r="E38" s="50" t="n">
        <f aca="false">ROUND(100*((N('Player Data'!Z38)&gt;='Model Settings'!$E$32)*'Model Settings'!$F$32+(N('Player Data'!BN38)&gt;='Model Settings'!$E$33)*'Model Settings'!$F$33+(N('Player Data'!BO38)&gt;='Model Settings'!$E$34)*'Model Settings'!$F$34+(N('Player Data'!BP38)&gt;='Model Settings'!$E$35)*'Model Settings'!$F$35+('Player Data'!BR38='Model Settings'!$E$36)*'Model Settings'!$F$36+(N('Player Data'!AW38)&gt;='Model Settings'!$E$37)*'Model Settings'!$F$37+(N('Player Data'!AF38)&lt;='Model Settings'!$E$38)*'Model Settings'!$F$38)/('Model Settings'!$F$32+'Model Settings'!$F$33+'Model Settings'!$F$34+'Model Settings'!$F$35+'Model Settings'!$F$36+'Model Settings'!$F$37+'Model Settings'!$F$38),0)</f>
        <v>0</v>
      </c>
      <c r="F38" s="50" t="n">
        <f aca="false">ROUND(100*((N('Player Data'!K38)&gt;='Model Settings'!$E$39)*'Model Settings'!$F$39+(N('Player Data'!P38)&gt;='Model Settings'!$E$40)*'Model Settings'!$F$40+(N('Player Data'!M38)&gt;='Model Settings'!$E$41)*'Model Settings'!$F$41+(N('Player Data'!AU38)&gt;='Model Settings'!$E$42)*'Model Settings'!$F$42+(N('Player Data'!CL38)&gt;='Model Settings'!$E$43)*'Model Settings'!$F$43+(N('Player Data'!Q38)&gt;='Model Settings'!$E$44)*'Model Settings'!$F$44)/('Model Settings'!$F$39+'Model Settings'!$F$40+'Model Settings'!$F$41+'Model Settings'!$F$42+'Model Settings'!$F$43+'Model Settings'!$F$44),0)</f>
        <v>0</v>
      </c>
      <c r="G38" s="50" t="n">
        <f aca="false">ROUND(100*((N('Player Data'!BE38)&gt;='Model Settings'!$E$45)*'Model Settings'!$F$45+(N('Player Data'!BH38)&gt;='Model Settings'!$E$46)*'Model Settings'!$F$46+(N('Player Data'!U38)&gt;='Model Settings'!$E$47)*'Model Settings'!$F$47+(N('Player Data'!BN38)&gt;='Model Settings'!$E$48)*'Model Settings'!$F$48+(N('Player Data'!AX38)&gt;='Model Settings'!$E$49)*'Model Settings'!$F$49+(N('Player Data'!BL38)&gt;='Model Settings'!$E$50)*'Model Settings'!$F$50+(N('Player Data'!BI38)&gt;='Model Settings'!$E$51)*'Model Settings'!$F$51)/('Model Settings'!$F$45+'Model Settings'!$F$46+'Model Settings'!$F$47+'Model Settings'!$F$48+'Model Settings'!$F$49+'Model Settings'!$F$50+'Model Settings'!$F$51),0)</f>
        <v>0</v>
      </c>
      <c r="H38" s="34" t="str">
        <f aca="false">IF(AND(B38&lt;'Model Settings'!$E$66,E38&lt;'Model Settings'!$E$68),"Non-problem",IF(E38&gt;='Model Settings'!$E$68,"Financially vulnerable",IF(OR(N('Player Data'!BY38)&gt;=1,N('Player Data'!BX38)&gt;=2,N('Player Data'!BW38)&gt;=3),"Emotionally vulnerable","At-risk")))</f>
        <v>Non-problem</v>
      </c>
      <c r="I38" s="34" t="str">
        <f aca="false">IF(OR(N('Player Data'!BY38)&gt;=1,'Player Data'!BZ38="Yes"),"Alert","None")</f>
        <v>None</v>
      </c>
      <c r="J38" s="34" t="str">
        <f aca="false">IF(OR(B38&gt;='Model Settings'!$E$67,'Player Data'!BM38="Yes",I38="Alert"),"Suppress",IF(AND(B38&gt;='Model Settings'!$E$66,'Player Data'!G38="Yes"),"Review VIP","Allow"))</f>
        <v>Allow</v>
      </c>
      <c r="K38" s="50" t="n">
        <f aca="false">ROUND(100*((N('Player Data'!CH38)&gt;='Model Settings'!$E$52)*'Model Settings'!$F$52+(N('Player Data'!CI38)&gt;='Model Settings'!$E$53)*'Model Settings'!$F$53+(N('Player Data'!R38)&gt;='Model Settings'!$E$54)*'Model Settings'!$F$54+(N('Player Data'!Y38)&gt;='Model Settings'!$E$55)*'Model Settings'!$F$55+(N('Player Data'!AS38)&gt;='Model Settings'!$E$56)*'Model Settings'!$F$56)/('Model Settings'!$F$52+'Model Settings'!$F$53+'Model Settings'!$F$54+'Model Settings'!$F$55+'Model Settings'!$F$56),0)</f>
        <v>0</v>
      </c>
      <c r="L38" s="34" t="str">
        <f aca="false">IF('Player Data'!D38="Spain",ROUND(100*((N('Player Data'!H38)&gt;='Model Settings'!$E$57)*'Model Settings'!$F$57+(N('Player Data'!AI38)&gt;='Model Settings'!$E$58)*'Model Settings'!$F$58+(N('Player Data'!AL38)&gt;='Model Settings'!$E$59)*'Model Settings'!$F$59+(N('Player Data'!M38)&gt;='Model Settings'!$E$60)*'Model Settings'!$F$60+(N('Player Data'!X38)&lt;='Model Settings'!$E$61)*'Model Settings'!$F$61+(N('Player Data'!Y38)&gt;='Model Settings'!$E$62)*'Model Settings'!$F$62+(N('Player Data'!P38)&gt;='Model Settings'!$E$63)*'Model Settings'!$F$63)/('Model Settings'!$F$57+'Model Settings'!$F$58+'Model Settings'!$F$59+'Model Settings'!$F$60+'Model Settings'!$F$61+'Model Settings'!$F$62+'Model Settings'!$F$63),0),"n/a")</f>
        <v>n/a</v>
      </c>
      <c r="M38" s="34" t="str">
        <f aca="false">IF('Player Data'!CA38="None","No contact yet",IF('Player Data'!CA38="Improved","Working",IF('Player Data'!CA38="No change","Review approach","Escalate")))</f>
        <v>No contact yet</v>
      </c>
      <c r="N38" s="49" t="str">
        <f aca="false">IF(OR('Player Data'!BM38="Yes",I38="Alert"),"High",IF(B38&gt;='Model Settings'!$E$67,"High",IF(OR(B38&gt;='Model Settings'!$E$66,D38&gt;='Model Settings'!$E$68,F38&gt;='Model Settings'!$E$68,K38&gt;='Model Settings'!$E$68),"Medium","Low")))</f>
        <v>Low</v>
      </c>
      <c r="O38" s="34" t="str">
        <f aca="false">IF(N38="High","Contact player + review within 48h; stop marketing",IF(N38="Medium","Safer gambling message; monitor weekly","No action; routine monitoring"))</f>
        <v>No action; routine monitoring</v>
      </c>
      <c r="P38" s="34" t="n">
        <f aca="false">IF(OR(N38="High",AND('Model Settings'!$E$70="High+Medium",N38="Medium")),1,0)</f>
        <v>0</v>
      </c>
      <c r="Q38" s="34" t="n">
        <f aca="false">'Player Data'!CM38</f>
        <v>0</v>
      </c>
    </row>
    <row r="39" customFormat="false" ht="15" hidden="false" customHeight="false" outlineLevel="0" collapsed="false">
      <c r="A39" s="49" t="str">
        <f aca="false">'Player Data'!A39</f>
        <v>P034</v>
      </c>
      <c r="B39" s="50" t="n">
        <f aca="false">ROUND(100*((N('Player Data'!U39)&gt;='Model Settings'!$E$5)*'Model Settings'!$F$5+(N('Player Data'!AT39)&gt;='Model Settings'!$E$6)*'Model Settings'!$F$6+(N('Player Data'!BI39)&gt;='Model Settings'!$E$7)*'Model Settings'!$F$7+(N('Player Data'!AL39)&gt;='Model Settings'!$E$8)*'Model Settings'!$F$8+(N('Player Data'!AH39)&gt;='Model Settings'!$E$9)*'Model Settings'!$F$9+(N('Player Data'!B39)&lt;='Model Settings'!$E$10)*'Model Settings'!$F$10+(N('Player Data'!M39)&gt;='Model Settings'!$E$11)*'Model Settings'!$F$11+(N('Player Data'!J39)&lt;='Model Settings'!$E$12)*'Model Settings'!$F$12+(N('Player Data'!V39)&gt;='Model Settings'!$E$13)*'Model Settings'!$F$13+(N('Player Data'!W39)&gt;='Model Settings'!$E$14)*'Model Settings'!$F$14+(N('Player Data'!AE39)&gt;='Model Settings'!$E$15)*'Model Settings'!$F$15+(N('Player Data'!BF39)&gt;='Model Settings'!$E$16)*'Model Settings'!$F$16+(N('Player Data'!AX39)&gt;='Model Settings'!$E$17)*'Model Settings'!$F$17+(N('Player Data'!AP39)&gt;='Model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39" s="34" t="str">
        <f aca="false">IF('Player Data'!E39&lt;='Model Settings'!$E$69,ROUND(100*((N('Player Data'!H39)&gt;='Model Settings'!$E$19)*'Model Settings'!$F$19+(N('Player Data'!S39)&gt;='Model Settings'!$E$20)*'Model Settings'!$F$20+(N('Player Data'!AH39)&gt;='Model Settings'!$E$21)*'Model Settings'!$F$21+(N('Player Data'!AX39)&gt;='Model Settings'!$E$22)*'Model Settings'!$F$22+(N('Player Data'!Y39)&gt;='Model Settings'!$E$23)*'Model Settings'!$F$23+(N('Player Data'!AM39)&gt;='Model Settings'!$E$24)*'Model Settings'!$F$24)/('Model Settings'!$F$19+'Model Settings'!$F$20+'Model Settings'!$F$21+'Model Settings'!$F$22+'Model Settings'!$F$23+'Model Settings'!$F$24),0),"n/a")</f>
        <v>n/a</v>
      </c>
      <c r="D39" s="50" t="n">
        <f aca="false">ROUND(100*((N('Player Data'!U39)&gt;='Model Settings'!$E$25)*'Model Settings'!$F$25+(N('Player Data'!V39)&gt;='Model Settings'!$E$26)*'Model Settings'!$F$26+(N('Player Data'!W39)&gt;='Model Settings'!$E$27)*'Model Settings'!$F$27+(N('Player Data'!AT39)&gt;='Model Settings'!$E$28)*'Model Settings'!$F$28+(N('Player Data'!AE39)&gt;='Model Settings'!$E$29)*'Model Settings'!$F$29+(N('Player Data'!AO39)&gt;='Model Settings'!$E$30)*'Model Settings'!$F$30+(N('Player Data'!AG39)&gt;='Model Settings'!$E$31)*'Model Settings'!$F$31)/('Model Settings'!$F$25+'Model Settings'!$F$26+'Model Settings'!$F$27+'Model Settings'!$F$28+'Model Settings'!$F$29+'Model Settings'!$F$30+'Model Settings'!$F$31),0)</f>
        <v>0</v>
      </c>
      <c r="E39" s="50" t="n">
        <f aca="false">ROUND(100*((N('Player Data'!Z39)&gt;='Model Settings'!$E$32)*'Model Settings'!$F$32+(N('Player Data'!BN39)&gt;='Model Settings'!$E$33)*'Model Settings'!$F$33+(N('Player Data'!BO39)&gt;='Model Settings'!$E$34)*'Model Settings'!$F$34+(N('Player Data'!BP39)&gt;='Model Settings'!$E$35)*'Model Settings'!$F$35+('Player Data'!BR39='Model Settings'!$E$36)*'Model Settings'!$F$36+(N('Player Data'!AW39)&gt;='Model Settings'!$E$37)*'Model Settings'!$F$37+(N('Player Data'!AF39)&lt;='Model Settings'!$E$38)*'Model Settings'!$F$38)/('Model Settings'!$F$32+'Model Settings'!$F$33+'Model Settings'!$F$34+'Model Settings'!$F$35+'Model Settings'!$F$36+'Model Settings'!$F$37+'Model Settings'!$F$38),0)</f>
        <v>0</v>
      </c>
      <c r="F39" s="50" t="n">
        <f aca="false">ROUND(100*((N('Player Data'!K39)&gt;='Model Settings'!$E$39)*'Model Settings'!$F$39+(N('Player Data'!P39)&gt;='Model Settings'!$E$40)*'Model Settings'!$F$40+(N('Player Data'!M39)&gt;='Model Settings'!$E$41)*'Model Settings'!$F$41+(N('Player Data'!AU39)&gt;='Model Settings'!$E$42)*'Model Settings'!$F$42+(N('Player Data'!CL39)&gt;='Model Settings'!$E$43)*'Model Settings'!$F$43+(N('Player Data'!Q39)&gt;='Model Settings'!$E$44)*'Model Settings'!$F$44)/('Model Settings'!$F$39+'Model Settings'!$F$40+'Model Settings'!$F$41+'Model Settings'!$F$42+'Model Settings'!$F$43+'Model Settings'!$F$44),0)</f>
        <v>0</v>
      </c>
      <c r="G39" s="50" t="n">
        <f aca="false">ROUND(100*((N('Player Data'!BE39)&gt;='Model Settings'!$E$45)*'Model Settings'!$F$45+(N('Player Data'!BH39)&gt;='Model Settings'!$E$46)*'Model Settings'!$F$46+(N('Player Data'!U39)&gt;='Model Settings'!$E$47)*'Model Settings'!$F$47+(N('Player Data'!BN39)&gt;='Model Settings'!$E$48)*'Model Settings'!$F$48+(N('Player Data'!AX39)&gt;='Model Settings'!$E$49)*'Model Settings'!$F$49+(N('Player Data'!BL39)&gt;='Model Settings'!$E$50)*'Model Settings'!$F$50+(N('Player Data'!BI39)&gt;='Model Settings'!$E$51)*'Model Settings'!$F$51)/('Model Settings'!$F$45+'Model Settings'!$F$46+'Model Settings'!$F$47+'Model Settings'!$F$48+'Model Settings'!$F$49+'Model Settings'!$F$50+'Model Settings'!$F$51),0)</f>
        <v>0</v>
      </c>
      <c r="H39" s="34" t="str">
        <f aca="false">IF(AND(B39&lt;'Model Settings'!$E$66,E39&lt;'Model Settings'!$E$68),"Non-problem",IF(E39&gt;='Model Settings'!$E$68,"Financially vulnerable",IF(OR(N('Player Data'!BY39)&gt;=1,N('Player Data'!BX39)&gt;=2,N('Player Data'!BW39)&gt;=3),"Emotionally vulnerable","At-risk")))</f>
        <v>Non-problem</v>
      </c>
      <c r="I39" s="34" t="str">
        <f aca="false">IF(OR(N('Player Data'!BY39)&gt;=1,'Player Data'!BZ39="Yes"),"Alert","None")</f>
        <v>None</v>
      </c>
      <c r="J39" s="34" t="str">
        <f aca="false">IF(OR(B39&gt;='Model Settings'!$E$67,'Player Data'!BM39="Yes",I39="Alert"),"Suppress",IF(AND(B39&gt;='Model Settings'!$E$66,'Player Data'!G39="Yes"),"Review VIP","Allow"))</f>
        <v>Allow</v>
      </c>
      <c r="K39" s="50" t="n">
        <f aca="false">ROUND(100*((N('Player Data'!CH39)&gt;='Model Settings'!$E$52)*'Model Settings'!$F$52+(N('Player Data'!CI39)&gt;='Model Settings'!$E$53)*'Model Settings'!$F$53+(N('Player Data'!R39)&gt;='Model Settings'!$E$54)*'Model Settings'!$F$54+(N('Player Data'!Y39)&gt;='Model Settings'!$E$55)*'Model Settings'!$F$55+(N('Player Data'!AS39)&gt;='Model Settings'!$E$56)*'Model Settings'!$F$56)/('Model Settings'!$F$52+'Model Settings'!$F$53+'Model Settings'!$F$54+'Model Settings'!$F$55+'Model Settings'!$F$56),0)</f>
        <v>0</v>
      </c>
      <c r="L39" s="34" t="str">
        <f aca="false">IF('Player Data'!D39="Spain",ROUND(100*((N('Player Data'!H39)&gt;='Model Settings'!$E$57)*'Model Settings'!$F$57+(N('Player Data'!AI39)&gt;='Model Settings'!$E$58)*'Model Settings'!$F$58+(N('Player Data'!AL39)&gt;='Model Settings'!$E$59)*'Model Settings'!$F$59+(N('Player Data'!M39)&gt;='Model Settings'!$E$60)*'Model Settings'!$F$60+(N('Player Data'!X39)&lt;='Model Settings'!$E$61)*'Model Settings'!$F$61+(N('Player Data'!Y39)&gt;='Model Settings'!$E$62)*'Model Settings'!$F$62+(N('Player Data'!P39)&gt;='Model Settings'!$E$63)*'Model Settings'!$F$63)/('Model Settings'!$F$57+'Model Settings'!$F$58+'Model Settings'!$F$59+'Model Settings'!$F$60+'Model Settings'!$F$61+'Model Settings'!$F$62+'Model Settings'!$F$63),0),"n/a")</f>
        <v>n/a</v>
      </c>
      <c r="M39" s="34" t="str">
        <f aca="false">IF('Player Data'!CA39="None","No contact yet",IF('Player Data'!CA39="Improved","Working",IF('Player Data'!CA39="No change","Review approach","Escalate")))</f>
        <v>No contact yet</v>
      </c>
      <c r="N39" s="49" t="str">
        <f aca="false">IF(OR('Player Data'!BM39="Yes",I39="Alert"),"High",IF(B39&gt;='Model Settings'!$E$67,"High",IF(OR(B39&gt;='Model Settings'!$E$66,D39&gt;='Model Settings'!$E$68,F39&gt;='Model Settings'!$E$68,K39&gt;='Model Settings'!$E$68),"Medium","Low")))</f>
        <v>Low</v>
      </c>
      <c r="O39" s="34" t="str">
        <f aca="false">IF(N39="High","Contact player + review within 48h; stop marketing",IF(N39="Medium","Safer gambling message; monitor weekly","No action; routine monitoring"))</f>
        <v>No action; routine monitoring</v>
      </c>
      <c r="P39" s="34" t="n">
        <f aca="false">IF(OR(N39="High",AND('Model Settings'!$E$70="High+Medium",N39="Medium")),1,0)</f>
        <v>0</v>
      </c>
      <c r="Q39" s="34" t="n">
        <f aca="false">'Player Data'!CM39</f>
        <v>0</v>
      </c>
    </row>
    <row r="40" customFormat="false" ht="15" hidden="false" customHeight="false" outlineLevel="0" collapsed="false">
      <c r="A40" s="49" t="str">
        <f aca="false">'Player Data'!A40</f>
        <v>P035</v>
      </c>
      <c r="B40" s="50" t="n">
        <f aca="false">ROUND(100*((N('Player Data'!U40)&gt;='Model Settings'!$E$5)*'Model Settings'!$F$5+(N('Player Data'!AT40)&gt;='Model Settings'!$E$6)*'Model Settings'!$F$6+(N('Player Data'!BI40)&gt;='Model Settings'!$E$7)*'Model Settings'!$F$7+(N('Player Data'!AL40)&gt;='Model Settings'!$E$8)*'Model Settings'!$F$8+(N('Player Data'!AH40)&gt;='Model Settings'!$E$9)*'Model Settings'!$F$9+(N('Player Data'!B40)&lt;='Model Settings'!$E$10)*'Model Settings'!$F$10+(N('Player Data'!M40)&gt;='Model Settings'!$E$11)*'Model Settings'!$F$11+(N('Player Data'!J40)&lt;='Model Settings'!$E$12)*'Model Settings'!$F$12+(N('Player Data'!V40)&gt;='Model Settings'!$E$13)*'Model Settings'!$F$13+(N('Player Data'!W40)&gt;='Model Settings'!$E$14)*'Model Settings'!$F$14+(N('Player Data'!AE40)&gt;='Model Settings'!$E$15)*'Model Settings'!$F$15+(N('Player Data'!BF40)&gt;='Model Settings'!$E$16)*'Model Settings'!$F$16+(N('Player Data'!AX40)&gt;='Model Settings'!$E$17)*'Model Settings'!$F$17+(N('Player Data'!AP40)&gt;='Model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74</v>
      </c>
      <c r="C40" s="34" t="n">
        <f aca="false">IF('Player Data'!E40&lt;='Model Settings'!$E$69,ROUND(100*((N('Player Data'!H40)&gt;='Model Settings'!$E$19)*'Model Settings'!$F$19+(N('Player Data'!S40)&gt;='Model Settings'!$E$20)*'Model Settings'!$F$20+(N('Player Data'!AH40)&gt;='Model Settings'!$E$21)*'Model Settings'!$F$21+(N('Player Data'!AX40)&gt;='Model Settings'!$E$22)*'Model Settings'!$F$22+(N('Player Data'!Y40)&gt;='Model Settings'!$E$23)*'Model Settings'!$F$23+(N('Player Data'!AM40)&gt;='Model Settings'!$E$24)*'Model Settings'!$F$24)/('Model Settings'!$F$19+'Model Settings'!$F$20+'Model Settings'!$F$21+'Model Settings'!$F$22+'Model Settings'!$F$23+'Model Settings'!$F$24),0),"n/a")</f>
        <v>67</v>
      </c>
      <c r="D40" s="50" t="n">
        <f aca="false">ROUND(100*((N('Player Data'!U40)&gt;='Model Settings'!$E$25)*'Model Settings'!$F$25+(N('Player Data'!V40)&gt;='Model Settings'!$E$26)*'Model Settings'!$F$26+(N('Player Data'!W40)&gt;='Model Settings'!$E$27)*'Model Settings'!$F$27+(N('Player Data'!AT40)&gt;='Model Settings'!$E$28)*'Model Settings'!$F$28+(N('Player Data'!AE40)&gt;='Model Settings'!$E$29)*'Model Settings'!$F$29+(N('Player Data'!AO40)&gt;='Model Settings'!$E$30)*'Model Settings'!$F$30+(N('Player Data'!AG40)&gt;='Model Settings'!$E$31)*'Model Settings'!$F$31)/('Model Settings'!$F$25+'Model Settings'!$F$26+'Model Settings'!$F$27+'Model Settings'!$F$28+'Model Settings'!$F$29+'Model Settings'!$F$30+'Model Settings'!$F$31),0)</f>
        <v>86</v>
      </c>
      <c r="E40" s="50" t="n">
        <f aca="false">ROUND(100*((N('Player Data'!Z40)&gt;='Model Settings'!$E$32)*'Model Settings'!$F$32+(N('Player Data'!BN40)&gt;='Model Settings'!$E$33)*'Model Settings'!$F$33+(N('Player Data'!BO40)&gt;='Model Settings'!$E$34)*'Model Settings'!$F$34+(N('Player Data'!BP40)&gt;='Model Settings'!$E$35)*'Model Settings'!$F$35+('Player Data'!BR40='Model Settings'!$E$36)*'Model Settings'!$F$36+(N('Player Data'!AW40)&gt;='Model Settings'!$E$37)*'Model Settings'!$F$37+(N('Player Data'!AF40)&lt;='Model Settings'!$E$38)*'Model Settings'!$F$38)/('Model Settings'!$F$32+'Model Settings'!$F$33+'Model Settings'!$F$34+'Model Settings'!$F$35+'Model Settings'!$F$36+'Model Settings'!$F$37+'Model Settings'!$F$38),0)</f>
        <v>14</v>
      </c>
      <c r="F40" s="50" t="n">
        <f aca="false">ROUND(100*((N('Player Data'!K40)&gt;='Model Settings'!$E$39)*'Model Settings'!$F$39+(N('Player Data'!P40)&gt;='Model Settings'!$E$40)*'Model Settings'!$F$40+(N('Player Data'!M40)&gt;='Model Settings'!$E$41)*'Model Settings'!$F$41+(N('Player Data'!AU40)&gt;='Model Settings'!$E$42)*'Model Settings'!$F$42+(N('Player Data'!CL40)&gt;='Model Settings'!$E$43)*'Model Settings'!$F$43+(N('Player Data'!Q40)&gt;='Model Settings'!$E$44)*'Model Settings'!$F$44)/('Model Settings'!$F$39+'Model Settings'!$F$40+'Model Settings'!$F$41+'Model Settings'!$F$42+'Model Settings'!$F$43+'Model Settings'!$F$44),0)</f>
        <v>50</v>
      </c>
      <c r="G40" s="50" t="n">
        <f aca="false">ROUND(100*((N('Player Data'!BE40)&gt;='Model Settings'!$E$45)*'Model Settings'!$F$45+(N('Player Data'!BH40)&gt;='Model Settings'!$E$46)*'Model Settings'!$F$46+(N('Player Data'!U40)&gt;='Model Settings'!$E$47)*'Model Settings'!$F$47+(N('Player Data'!BN40)&gt;='Model Settings'!$E$48)*'Model Settings'!$F$48+(N('Player Data'!AX40)&gt;='Model Settings'!$E$49)*'Model Settings'!$F$49+(N('Player Data'!BL40)&gt;='Model Settings'!$E$50)*'Model Settings'!$F$50+(N('Player Data'!BI40)&gt;='Model Settings'!$E$51)*'Model Settings'!$F$51)/('Model Settings'!$F$45+'Model Settings'!$F$46+'Model Settings'!$F$47+'Model Settings'!$F$48+'Model Settings'!$F$49+'Model Settings'!$F$50+'Model Settings'!$F$51),0)</f>
        <v>43</v>
      </c>
      <c r="H40" s="34" t="str">
        <f aca="false">IF(AND(B40&lt;'Model Settings'!$E$66,E40&lt;'Model Settings'!$E$68),"Non-problem",IF(E40&gt;='Model Settings'!$E$68,"Financially vulnerable",IF(OR(N('Player Data'!BY40)&gt;=1,N('Player Data'!BX40)&gt;=2,N('Player Data'!BW40)&gt;=3),"Emotionally vulnerable","At-risk")))</f>
        <v>Emotionally vulnerable</v>
      </c>
      <c r="I40" s="34" t="str">
        <f aca="false">IF(OR(N('Player Data'!BY40)&gt;=1,'Player Data'!BZ40="Yes"),"Alert","None")</f>
        <v>None</v>
      </c>
      <c r="J40" s="34" t="str">
        <f aca="false">IF(OR(B40&gt;='Model Settings'!$E$67,'Player Data'!BM40="Yes",I40="Alert"),"Suppress",IF(AND(B40&gt;='Model Settings'!$E$66,'Player Data'!G40="Yes"),"Review VIP","Allow"))</f>
        <v>Suppress</v>
      </c>
      <c r="K40" s="50" t="n">
        <f aca="false">ROUND(100*((N('Player Data'!CH40)&gt;='Model Settings'!$E$52)*'Model Settings'!$F$52+(N('Player Data'!CI40)&gt;='Model Settings'!$E$53)*'Model Settings'!$F$53+(N('Player Data'!R40)&gt;='Model Settings'!$E$54)*'Model Settings'!$F$54+(N('Player Data'!Y40)&gt;='Model Settings'!$E$55)*'Model Settings'!$F$55+(N('Player Data'!AS40)&gt;='Model Settings'!$E$56)*'Model Settings'!$F$56)/('Model Settings'!$F$52+'Model Settings'!$F$53+'Model Settings'!$F$54+'Model Settings'!$F$55+'Model Settings'!$F$56),0)</f>
        <v>80</v>
      </c>
      <c r="L40" s="34" t="str">
        <f aca="false">IF('Player Data'!D40="Spain",ROUND(100*((N('Player Data'!H40)&gt;='Model Settings'!$E$57)*'Model Settings'!$F$57+(N('Player Data'!AI40)&gt;='Model Settings'!$E$58)*'Model Settings'!$F$58+(N('Player Data'!AL40)&gt;='Model Settings'!$E$59)*'Model Settings'!$F$59+(N('Player Data'!M40)&gt;='Model Settings'!$E$60)*'Model Settings'!$F$60+(N('Player Data'!X40)&lt;='Model Settings'!$E$61)*'Model Settings'!$F$61+(N('Player Data'!Y40)&gt;='Model Settings'!$E$62)*'Model Settings'!$F$62+(N('Player Data'!P40)&gt;='Model Settings'!$E$63)*'Model Settings'!$F$63)/('Model Settings'!$F$57+'Model Settings'!$F$58+'Model Settings'!$F$59+'Model Settings'!$F$60+'Model Settings'!$F$61+'Model Settings'!$F$62+'Model Settings'!$F$63),0),"n/a")</f>
        <v>n/a</v>
      </c>
      <c r="M40" s="34" t="str">
        <f aca="false">IF('Player Data'!CA40="None","No contact yet",IF('Player Data'!CA40="Improved","Working",IF('Player Data'!CA40="No change","Review approach","Escalate")))</f>
        <v>Working</v>
      </c>
      <c r="N40" s="49" t="str">
        <f aca="false">IF(OR('Player Data'!BM40="Yes",I40="Alert"),"High",IF(B40&gt;='Model Settings'!$E$67,"High",IF(OR(B40&gt;='Model Settings'!$E$66,D40&gt;='Model Settings'!$E$68,F40&gt;='Model Settings'!$E$68,K40&gt;='Model Settings'!$E$68),"Medium","Low")))</f>
        <v>High</v>
      </c>
      <c r="O40" s="34" t="str">
        <f aca="false">IF(N40="High","Contact player + review within 48h; stop marketing",IF(N40="Medium","Safer gambling message; monitor weekly","No action; routine monitoring"))</f>
        <v>Contact player + review within 48h; stop marketing</v>
      </c>
      <c r="P40" s="34" t="n">
        <f aca="false">IF(OR(N40="High",AND('Model Settings'!$E$70="High+Medium",N40="Medium")),1,0)</f>
        <v>1</v>
      </c>
      <c r="Q40" s="34" t="n">
        <f aca="false">'Player Data'!CM40</f>
        <v>0</v>
      </c>
    </row>
    <row r="41" customFormat="false" ht="15" hidden="false" customHeight="false" outlineLevel="0" collapsed="false">
      <c r="A41" s="49" t="str">
        <f aca="false">'Player Data'!A41</f>
        <v>P036</v>
      </c>
      <c r="B41" s="50" t="n">
        <f aca="false">ROUND(100*((N('Player Data'!U41)&gt;='Model Settings'!$E$5)*'Model Settings'!$F$5+(N('Player Data'!AT41)&gt;='Model Settings'!$E$6)*'Model Settings'!$F$6+(N('Player Data'!BI41)&gt;='Model Settings'!$E$7)*'Model Settings'!$F$7+(N('Player Data'!AL41)&gt;='Model Settings'!$E$8)*'Model Settings'!$F$8+(N('Player Data'!AH41)&gt;='Model Settings'!$E$9)*'Model Settings'!$F$9+(N('Player Data'!B41)&lt;='Model Settings'!$E$10)*'Model Settings'!$F$10+(N('Player Data'!M41)&gt;='Model Settings'!$E$11)*'Model Settings'!$F$11+(N('Player Data'!J41)&lt;='Model Settings'!$E$12)*'Model Settings'!$F$12+(N('Player Data'!V41)&gt;='Model Settings'!$E$13)*'Model Settings'!$F$13+(N('Player Data'!W41)&gt;='Model Settings'!$E$14)*'Model Settings'!$F$14+(N('Player Data'!AE41)&gt;='Model Settings'!$E$15)*'Model Settings'!$F$15+(N('Player Data'!BF41)&gt;='Model Settings'!$E$16)*'Model Settings'!$F$16+(N('Player Data'!AX41)&gt;='Model Settings'!$E$17)*'Model Settings'!$F$17+(N('Player Data'!AP41)&gt;='Model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41" s="34" t="str">
        <f aca="false">IF('Player Data'!E41&lt;='Model Settings'!$E$69,ROUND(100*((N('Player Data'!H41)&gt;='Model Settings'!$E$19)*'Model Settings'!$F$19+(N('Player Data'!S41)&gt;='Model Settings'!$E$20)*'Model Settings'!$F$20+(N('Player Data'!AH41)&gt;='Model Settings'!$E$21)*'Model Settings'!$F$21+(N('Player Data'!AX41)&gt;='Model Settings'!$E$22)*'Model Settings'!$F$22+(N('Player Data'!Y41)&gt;='Model Settings'!$E$23)*'Model Settings'!$F$23+(N('Player Data'!AM41)&gt;='Model Settings'!$E$24)*'Model Settings'!$F$24)/('Model Settings'!$F$19+'Model Settings'!$F$20+'Model Settings'!$F$21+'Model Settings'!$F$22+'Model Settings'!$F$23+'Model Settings'!$F$24),0),"n/a")</f>
        <v>n/a</v>
      </c>
      <c r="D41" s="50" t="n">
        <f aca="false">ROUND(100*((N('Player Data'!U41)&gt;='Model Settings'!$E$25)*'Model Settings'!$F$25+(N('Player Data'!V41)&gt;='Model Settings'!$E$26)*'Model Settings'!$F$26+(N('Player Data'!W41)&gt;='Model Settings'!$E$27)*'Model Settings'!$F$27+(N('Player Data'!AT41)&gt;='Model Settings'!$E$28)*'Model Settings'!$F$28+(N('Player Data'!AE41)&gt;='Model Settings'!$E$29)*'Model Settings'!$F$29+(N('Player Data'!AO41)&gt;='Model Settings'!$E$30)*'Model Settings'!$F$30+(N('Player Data'!AG41)&gt;='Model Settings'!$E$31)*'Model Settings'!$F$31)/('Model Settings'!$F$25+'Model Settings'!$F$26+'Model Settings'!$F$27+'Model Settings'!$F$28+'Model Settings'!$F$29+'Model Settings'!$F$30+'Model Settings'!$F$31),0)</f>
        <v>0</v>
      </c>
      <c r="E41" s="50" t="n">
        <f aca="false">ROUND(100*((N('Player Data'!Z41)&gt;='Model Settings'!$E$32)*'Model Settings'!$F$32+(N('Player Data'!BN41)&gt;='Model Settings'!$E$33)*'Model Settings'!$F$33+(N('Player Data'!BO41)&gt;='Model Settings'!$E$34)*'Model Settings'!$F$34+(N('Player Data'!BP41)&gt;='Model Settings'!$E$35)*'Model Settings'!$F$35+('Player Data'!BR41='Model Settings'!$E$36)*'Model Settings'!$F$36+(N('Player Data'!AW41)&gt;='Model Settings'!$E$37)*'Model Settings'!$F$37+(N('Player Data'!AF41)&lt;='Model Settings'!$E$38)*'Model Settings'!$F$38)/('Model Settings'!$F$32+'Model Settings'!$F$33+'Model Settings'!$F$34+'Model Settings'!$F$35+'Model Settings'!$F$36+'Model Settings'!$F$37+'Model Settings'!$F$38),0)</f>
        <v>0</v>
      </c>
      <c r="F41" s="50" t="n">
        <f aca="false">ROUND(100*((N('Player Data'!K41)&gt;='Model Settings'!$E$39)*'Model Settings'!$F$39+(N('Player Data'!P41)&gt;='Model Settings'!$E$40)*'Model Settings'!$F$40+(N('Player Data'!M41)&gt;='Model Settings'!$E$41)*'Model Settings'!$F$41+(N('Player Data'!AU41)&gt;='Model Settings'!$E$42)*'Model Settings'!$F$42+(N('Player Data'!CL41)&gt;='Model Settings'!$E$43)*'Model Settings'!$F$43+(N('Player Data'!Q41)&gt;='Model Settings'!$E$44)*'Model Settings'!$F$44)/('Model Settings'!$F$39+'Model Settings'!$F$40+'Model Settings'!$F$41+'Model Settings'!$F$42+'Model Settings'!$F$43+'Model Settings'!$F$44),0)</f>
        <v>33</v>
      </c>
      <c r="G41" s="50" t="n">
        <f aca="false">ROUND(100*((N('Player Data'!BE41)&gt;='Model Settings'!$E$45)*'Model Settings'!$F$45+(N('Player Data'!BH41)&gt;='Model Settings'!$E$46)*'Model Settings'!$F$46+(N('Player Data'!U41)&gt;='Model Settings'!$E$47)*'Model Settings'!$F$47+(N('Player Data'!BN41)&gt;='Model Settings'!$E$48)*'Model Settings'!$F$48+(N('Player Data'!AX41)&gt;='Model Settings'!$E$49)*'Model Settings'!$F$49+(N('Player Data'!BL41)&gt;='Model Settings'!$E$50)*'Model Settings'!$F$50+(N('Player Data'!BI41)&gt;='Model Settings'!$E$51)*'Model Settings'!$F$51)/('Model Settings'!$F$45+'Model Settings'!$F$46+'Model Settings'!$F$47+'Model Settings'!$F$48+'Model Settings'!$F$49+'Model Settings'!$F$50+'Model Settings'!$F$51),0)</f>
        <v>14</v>
      </c>
      <c r="H41" s="34" t="str">
        <f aca="false">IF(AND(B41&lt;'Model Settings'!$E$66,E41&lt;'Model Settings'!$E$68),"Non-problem",IF(E41&gt;='Model Settings'!$E$68,"Financially vulnerable",IF(OR(N('Player Data'!BY41)&gt;=1,N('Player Data'!BX41)&gt;=2,N('Player Data'!BW41)&gt;=3),"Emotionally vulnerable","At-risk")))</f>
        <v>Non-problem</v>
      </c>
      <c r="I41" s="34" t="str">
        <f aca="false">IF(OR(N('Player Data'!BY41)&gt;=1,'Player Data'!BZ41="Yes"),"Alert","None")</f>
        <v>None</v>
      </c>
      <c r="J41" s="34" t="str">
        <f aca="false">IF(OR(B41&gt;='Model Settings'!$E$67,'Player Data'!BM41="Yes",I41="Alert"),"Suppress",IF(AND(B41&gt;='Model Settings'!$E$66,'Player Data'!G41="Yes"),"Review VIP","Allow"))</f>
        <v>Allow</v>
      </c>
      <c r="K41" s="50" t="n">
        <f aca="false">ROUND(100*((N('Player Data'!CH41)&gt;='Model Settings'!$E$52)*'Model Settings'!$F$52+(N('Player Data'!CI41)&gt;='Model Settings'!$E$53)*'Model Settings'!$F$53+(N('Player Data'!R41)&gt;='Model Settings'!$E$54)*'Model Settings'!$F$54+(N('Player Data'!Y41)&gt;='Model Settings'!$E$55)*'Model Settings'!$F$55+(N('Player Data'!AS41)&gt;='Model Settings'!$E$56)*'Model Settings'!$F$56)/('Model Settings'!$F$52+'Model Settings'!$F$53+'Model Settings'!$F$54+'Model Settings'!$F$55+'Model Settings'!$F$56),0)</f>
        <v>0</v>
      </c>
      <c r="L41" s="34" t="n">
        <f aca="false">IF('Player Data'!D41="Spain",ROUND(100*((N('Player Data'!H41)&gt;='Model Settings'!$E$57)*'Model Settings'!$F$57+(N('Player Data'!AI41)&gt;='Model Settings'!$E$58)*'Model Settings'!$F$58+(N('Player Data'!AL41)&gt;='Model Settings'!$E$59)*'Model Settings'!$F$59+(N('Player Data'!M41)&gt;='Model Settings'!$E$60)*'Model Settings'!$F$60+(N('Player Data'!X41)&lt;='Model Settings'!$E$61)*'Model Settings'!$F$61+(N('Player Data'!Y41)&gt;='Model Settings'!$E$62)*'Model Settings'!$F$62+(N('Player Data'!P41)&gt;='Model Settings'!$E$63)*'Model Settings'!$F$63)/('Model Settings'!$F$57+'Model Settings'!$F$58+'Model Settings'!$F$59+'Model Settings'!$F$60+'Model Settings'!$F$61+'Model Settings'!$F$62+'Model Settings'!$F$63),0),"n/a")</f>
        <v>14</v>
      </c>
      <c r="M41" s="34" t="str">
        <f aca="false">IF('Player Data'!CA41="None","No contact yet",IF('Player Data'!CA41="Improved","Working",IF('Player Data'!CA41="No change","Review approach","Escalate")))</f>
        <v>No contact yet</v>
      </c>
      <c r="N41" s="49" t="str">
        <f aca="false">IF(OR('Player Data'!BM41="Yes",I41="Alert"),"High",IF(B41&gt;='Model Settings'!$E$67,"High",IF(OR(B41&gt;='Model Settings'!$E$66,D41&gt;='Model Settings'!$E$68,F41&gt;='Model Settings'!$E$68,K41&gt;='Model Settings'!$E$68),"Medium","Low")))</f>
        <v>Low</v>
      </c>
      <c r="O41" s="34" t="str">
        <f aca="false">IF(N41="High","Contact player + review within 48h; stop marketing",IF(N41="Medium","Safer gambling message; monitor weekly","No action; routine monitoring"))</f>
        <v>No action; routine monitoring</v>
      </c>
      <c r="P41" s="34" t="n">
        <f aca="false">IF(OR(N41="High",AND('Model Settings'!$E$70="High+Medium",N41="Medium")),1,0)</f>
        <v>0</v>
      </c>
      <c r="Q41" s="34" t="n">
        <f aca="false">'Player Data'!CM41</f>
        <v>0</v>
      </c>
    </row>
    <row r="42" customFormat="false" ht="15" hidden="false" customHeight="false" outlineLevel="0" collapsed="false">
      <c r="A42" s="49" t="str">
        <f aca="false">'Player Data'!A42</f>
        <v>P037</v>
      </c>
      <c r="B42" s="50" t="n">
        <f aca="false">ROUND(100*((N('Player Data'!U42)&gt;='Model Settings'!$E$5)*'Model Settings'!$F$5+(N('Player Data'!AT42)&gt;='Model Settings'!$E$6)*'Model Settings'!$F$6+(N('Player Data'!BI42)&gt;='Model Settings'!$E$7)*'Model Settings'!$F$7+(N('Player Data'!AL42)&gt;='Model Settings'!$E$8)*'Model Settings'!$F$8+(N('Player Data'!AH42)&gt;='Model Settings'!$E$9)*'Model Settings'!$F$9+(N('Player Data'!B42)&lt;='Model Settings'!$E$10)*'Model Settings'!$F$10+(N('Player Data'!M42)&gt;='Model Settings'!$E$11)*'Model Settings'!$F$11+(N('Player Data'!J42)&lt;='Model Settings'!$E$12)*'Model Settings'!$F$12+(N('Player Data'!V42)&gt;='Model Settings'!$E$13)*'Model Settings'!$F$13+(N('Player Data'!W42)&gt;='Model Settings'!$E$14)*'Model Settings'!$F$14+(N('Player Data'!AE42)&gt;='Model Settings'!$E$15)*'Model Settings'!$F$15+(N('Player Data'!BF42)&gt;='Model Settings'!$E$16)*'Model Settings'!$F$16+(N('Player Data'!AX42)&gt;='Model Settings'!$E$17)*'Model Settings'!$F$17+(N('Player Data'!AP42)&gt;='Model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42" s="34" t="str">
        <f aca="false">IF('Player Data'!E42&lt;='Model Settings'!$E$69,ROUND(100*((N('Player Data'!H42)&gt;='Model Settings'!$E$19)*'Model Settings'!$F$19+(N('Player Data'!S42)&gt;='Model Settings'!$E$20)*'Model Settings'!$F$20+(N('Player Data'!AH42)&gt;='Model Settings'!$E$21)*'Model Settings'!$F$21+(N('Player Data'!AX42)&gt;='Model Settings'!$E$22)*'Model Settings'!$F$22+(N('Player Data'!Y42)&gt;='Model Settings'!$E$23)*'Model Settings'!$F$23+(N('Player Data'!AM42)&gt;='Model Settings'!$E$24)*'Model Settings'!$F$24)/('Model Settings'!$F$19+'Model Settings'!$F$20+'Model Settings'!$F$21+'Model Settings'!$F$22+'Model Settings'!$F$23+'Model Settings'!$F$24),0),"n/a")</f>
        <v>n/a</v>
      </c>
      <c r="D42" s="50" t="n">
        <f aca="false">ROUND(100*((N('Player Data'!U42)&gt;='Model Settings'!$E$25)*'Model Settings'!$F$25+(N('Player Data'!V42)&gt;='Model Settings'!$E$26)*'Model Settings'!$F$26+(N('Player Data'!W42)&gt;='Model Settings'!$E$27)*'Model Settings'!$F$27+(N('Player Data'!AT42)&gt;='Model Settings'!$E$28)*'Model Settings'!$F$28+(N('Player Data'!AE42)&gt;='Model Settings'!$E$29)*'Model Settings'!$F$29+(N('Player Data'!AO42)&gt;='Model Settings'!$E$30)*'Model Settings'!$F$30+(N('Player Data'!AG42)&gt;='Model Settings'!$E$31)*'Model Settings'!$F$31)/('Model Settings'!$F$25+'Model Settings'!$F$26+'Model Settings'!$F$27+'Model Settings'!$F$28+'Model Settings'!$F$29+'Model Settings'!$F$30+'Model Settings'!$F$31),0)</f>
        <v>0</v>
      </c>
      <c r="E42" s="50" t="n">
        <f aca="false">ROUND(100*((N('Player Data'!Z42)&gt;='Model Settings'!$E$32)*'Model Settings'!$F$32+(N('Player Data'!BN42)&gt;='Model Settings'!$E$33)*'Model Settings'!$F$33+(N('Player Data'!BO42)&gt;='Model Settings'!$E$34)*'Model Settings'!$F$34+(N('Player Data'!BP42)&gt;='Model Settings'!$E$35)*'Model Settings'!$F$35+('Player Data'!BR42='Model Settings'!$E$36)*'Model Settings'!$F$36+(N('Player Data'!AW42)&gt;='Model Settings'!$E$37)*'Model Settings'!$F$37+(N('Player Data'!AF42)&lt;='Model Settings'!$E$38)*'Model Settings'!$F$38)/('Model Settings'!$F$32+'Model Settings'!$F$33+'Model Settings'!$F$34+'Model Settings'!$F$35+'Model Settings'!$F$36+'Model Settings'!$F$37+'Model Settings'!$F$38),0)</f>
        <v>0</v>
      </c>
      <c r="F42" s="50" t="n">
        <f aca="false">ROUND(100*((N('Player Data'!K42)&gt;='Model Settings'!$E$39)*'Model Settings'!$F$39+(N('Player Data'!P42)&gt;='Model Settings'!$E$40)*'Model Settings'!$F$40+(N('Player Data'!M42)&gt;='Model Settings'!$E$41)*'Model Settings'!$F$41+(N('Player Data'!AU42)&gt;='Model Settings'!$E$42)*'Model Settings'!$F$42+(N('Player Data'!CL42)&gt;='Model Settings'!$E$43)*'Model Settings'!$F$43+(N('Player Data'!Q42)&gt;='Model Settings'!$E$44)*'Model Settings'!$F$44)/('Model Settings'!$F$39+'Model Settings'!$F$40+'Model Settings'!$F$41+'Model Settings'!$F$42+'Model Settings'!$F$43+'Model Settings'!$F$44),0)</f>
        <v>0</v>
      </c>
      <c r="G42" s="50" t="n">
        <f aca="false">ROUND(100*((N('Player Data'!BE42)&gt;='Model Settings'!$E$45)*'Model Settings'!$F$45+(N('Player Data'!BH42)&gt;='Model Settings'!$E$46)*'Model Settings'!$F$46+(N('Player Data'!U42)&gt;='Model Settings'!$E$47)*'Model Settings'!$F$47+(N('Player Data'!BN42)&gt;='Model Settings'!$E$48)*'Model Settings'!$F$48+(N('Player Data'!AX42)&gt;='Model Settings'!$E$49)*'Model Settings'!$F$49+(N('Player Data'!BL42)&gt;='Model Settings'!$E$50)*'Model Settings'!$F$50+(N('Player Data'!BI42)&gt;='Model Settings'!$E$51)*'Model Settings'!$F$51)/('Model Settings'!$F$45+'Model Settings'!$F$46+'Model Settings'!$F$47+'Model Settings'!$F$48+'Model Settings'!$F$49+'Model Settings'!$F$50+'Model Settings'!$F$51),0)</f>
        <v>0</v>
      </c>
      <c r="H42" s="34" t="str">
        <f aca="false">IF(AND(B42&lt;'Model Settings'!$E$66,E42&lt;'Model Settings'!$E$68),"Non-problem",IF(E42&gt;='Model Settings'!$E$68,"Financially vulnerable",IF(OR(N('Player Data'!BY42)&gt;=1,N('Player Data'!BX42)&gt;=2,N('Player Data'!BW42)&gt;=3),"Emotionally vulnerable","At-risk")))</f>
        <v>Non-problem</v>
      </c>
      <c r="I42" s="34" t="str">
        <f aca="false">IF(OR(N('Player Data'!BY42)&gt;=1,'Player Data'!BZ42="Yes"),"Alert","None")</f>
        <v>None</v>
      </c>
      <c r="J42" s="34" t="str">
        <f aca="false">IF(OR(B42&gt;='Model Settings'!$E$67,'Player Data'!BM42="Yes",I42="Alert"),"Suppress",IF(AND(B42&gt;='Model Settings'!$E$66,'Player Data'!G42="Yes"),"Review VIP","Allow"))</f>
        <v>Allow</v>
      </c>
      <c r="K42" s="50" t="n">
        <f aca="false">ROUND(100*((N('Player Data'!CH42)&gt;='Model Settings'!$E$52)*'Model Settings'!$F$52+(N('Player Data'!CI42)&gt;='Model Settings'!$E$53)*'Model Settings'!$F$53+(N('Player Data'!R42)&gt;='Model Settings'!$E$54)*'Model Settings'!$F$54+(N('Player Data'!Y42)&gt;='Model Settings'!$E$55)*'Model Settings'!$F$55+(N('Player Data'!AS42)&gt;='Model Settings'!$E$56)*'Model Settings'!$F$56)/('Model Settings'!$F$52+'Model Settings'!$F$53+'Model Settings'!$F$54+'Model Settings'!$F$55+'Model Settings'!$F$56),0)</f>
        <v>0</v>
      </c>
      <c r="L42" s="34" t="str">
        <f aca="false">IF('Player Data'!D42="Spain",ROUND(100*((N('Player Data'!H42)&gt;='Model Settings'!$E$57)*'Model Settings'!$F$57+(N('Player Data'!AI42)&gt;='Model Settings'!$E$58)*'Model Settings'!$F$58+(N('Player Data'!AL42)&gt;='Model Settings'!$E$59)*'Model Settings'!$F$59+(N('Player Data'!M42)&gt;='Model Settings'!$E$60)*'Model Settings'!$F$60+(N('Player Data'!X42)&lt;='Model Settings'!$E$61)*'Model Settings'!$F$61+(N('Player Data'!Y42)&gt;='Model Settings'!$E$62)*'Model Settings'!$F$62+(N('Player Data'!P42)&gt;='Model Settings'!$E$63)*'Model Settings'!$F$63)/('Model Settings'!$F$57+'Model Settings'!$F$58+'Model Settings'!$F$59+'Model Settings'!$F$60+'Model Settings'!$F$61+'Model Settings'!$F$62+'Model Settings'!$F$63),0),"n/a")</f>
        <v>n/a</v>
      </c>
      <c r="M42" s="34" t="str">
        <f aca="false">IF('Player Data'!CA42="None","No contact yet",IF('Player Data'!CA42="Improved","Working",IF('Player Data'!CA42="No change","Review approach","Escalate")))</f>
        <v>No contact yet</v>
      </c>
      <c r="N42" s="49" t="str">
        <f aca="false">IF(OR('Player Data'!BM42="Yes",I42="Alert"),"High",IF(B42&gt;='Model Settings'!$E$67,"High",IF(OR(B42&gt;='Model Settings'!$E$66,D42&gt;='Model Settings'!$E$68,F42&gt;='Model Settings'!$E$68,K42&gt;='Model Settings'!$E$68),"Medium","Low")))</f>
        <v>Low</v>
      </c>
      <c r="O42" s="34" t="str">
        <f aca="false">IF(N42="High","Contact player + review within 48h; stop marketing",IF(N42="Medium","Safer gambling message; monitor weekly","No action; routine monitoring"))</f>
        <v>No action; routine monitoring</v>
      </c>
      <c r="P42" s="34" t="n">
        <f aca="false">IF(OR(N42="High",AND('Model Settings'!$E$70="High+Medium",N42="Medium")),1,0)</f>
        <v>0</v>
      </c>
      <c r="Q42" s="34" t="n">
        <f aca="false">'Player Data'!CM42</f>
        <v>0</v>
      </c>
    </row>
    <row r="43" customFormat="false" ht="15" hidden="false" customHeight="false" outlineLevel="0" collapsed="false">
      <c r="A43" s="49" t="str">
        <f aca="false">'Player Data'!A43</f>
        <v>P038</v>
      </c>
      <c r="B43" s="50" t="n">
        <f aca="false">ROUND(100*((N('Player Data'!U43)&gt;='Model Settings'!$E$5)*'Model Settings'!$F$5+(N('Player Data'!AT43)&gt;='Model Settings'!$E$6)*'Model Settings'!$F$6+(N('Player Data'!BI43)&gt;='Model Settings'!$E$7)*'Model Settings'!$F$7+(N('Player Data'!AL43)&gt;='Model Settings'!$E$8)*'Model Settings'!$F$8+(N('Player Data'!AH43)&gt;='Model Settings'!$E$9)*'Model Settings'!$F$9+(N('Player Data'!B43)&lt;='Model Settings'!$E$10)*'Model Settings'!$F$10+(N('Player Data'!M43)&gt;='Model Settings'!$E$11)*'Model Settings'!$F$11+(N('Player Data'!J43)&lt;='Model Settings'!$E$12)*'Model Settings'!$F$12+(N('Player Data'!V43)&gt;='Model Settings'!$E$13)*'Model Settings'!$F$13+(N('Player Data'!W43)&gt;='Model Settings'!$E$14)*'Model Settings'!$F$14+(N('Player Data'!AE43)&gt;='Model Settings'!$E$15)*'Model Settings'!$F$15+(N('Player Data'!BF43)&gt;='Model Settings'!$E$16)*'Model Settings'!$F$16+(N('Player Data'!AX43)&gt;='Model Settings'!$E$17)*'Model Settings'!$F$17+(N('Player Data'!AP43)&gt;='Model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52</v>
      </c>
      <c r="C43" s="34" t="str">
        <f aca="false">IF('Player Data'!E43&lt;='Model Settings'!$E$69,ROUND(100*((N('Player Data'!H43)&gt;='Model Settings'!$E$19)*'Model Settings'!$F$19+(N('Player Data'!S43)&gt;='Model Settings'!$E$20)*'Model Settings'!$F$20+(N('Player Data'!AH43)&gt;='Model Settings'!$E$21)*'Model Settings'!$F$21+(N('Player Data'!AX43)&gt;='Model Settings'!$E$22)*'Model Settings'!$F$22+(N('Player Data'!Y43)&gt;='Model Settings'!$E$23)*'Model Settings'!$F$23+(N('Player Data'!AM43)&gt;='Model Settings'!$E$24)*'Model Settings'!$F$24)/('Model Settings'!$F$19+'Model Settings'!$F$20+'Model Settings'!$F$21+'Model Settings'!$F$22+'Model Settings'!$F$23+'Model Settings'!$F$24),0),"n/a")</f>
        <v>n/a</v>
      </c>
      <c r="D43" s="50" t="n">
        <f aca="false">ROUND(100*((N('Player Data'!U43)&gt;='Model Settings'!$E$25)*'Model Settings'!$F$25+(N('Player Data'!V43)&gt;='Model Settings'!$E$26)*'Model Settings'!$F$26+(N('Player Data'!W43)&gt;='Model Settings'!$E$27)*'Model Settings'!$F$27+(N('Player Data'!AT43)&gt;='Model Settings'!$E$28)*'Model Settings'!$F$28+(N('Player Data'!AE43)&gt;='Model Settings'!$E$29)*'Model Settings'!$F$29+(N('Player Data'!AO43)&gt;='Model Settings'!$E$30)*'Model Settings'!$F$30+(N('Player Data'!AG43)&gt;='Model Settings'!$E$31)*'Model Settings'!$F$31)/('Model Settings'!$F$25+'Model Settings'!$F$26+'Model Settings'!$F$27+'Model Settings'!$F$28+'Model Settings'!$F$29+'Model Settings'!$F$30+'Model Settings'!$F$31),0)</f>
        <v>86</v>
      </c>
      <c r="E43" s="50" t="n">
        <f aca="false">ROUND(100*((N('Player Data'!Z43)&gt;='Model Settings'!$E$32)*'Model Settings'!$F$32+(N('Player Data'!BN43)&gt;='Model Settings'!$E$33)*'Model Settings'!$F$33+(N('Player Data'!BO43)&gt;='Model Settings'!$E$34)*'Model Settings'!$F$34+(N('Player Data'!BP43)&gt;='Model Settings'!$E$35)*'Model Settings'!$F$35+('Player Data'!BR43='Model Settings'!$E$36)*'Model Settings'!$F$36+(N('Player Data'!AW43)&gt;='Model Settings'!$E$37)*'Model Settings'!$F$37+(N('Player Data'!AF43)&lt;='Model Settings'!$E$38)*'Model Settings'!$F$38)/('Model Settings'!$F$32+'Model Settings'!$F$33+'Model Settings'!$F$34+'Model Settings'!$F$35+'Model Settings'!$F$36+'Model Settings'!$F$37+'Model Settings'!$F$38),0)</f>
        <v>29</v>
      </c>
      <c r="F43" s="50" t="n">
        <f aca="false">ROUND(100*((N('Player Data'!K43)&gt;='Model Settings'!$E$39)*'Model Settings'!$F$39+(N('Player Data'!P43)&gt;='Model Settings'!$E$40)*'Model Settings'!$F$40+(N('Player Data'!M43)&gt;='Model Settings'!$E$41)*'Model Settings'!$F$41+(N('Player Data'!AU43)&gt;='Model Settings'!$E$42)*'Model Settings'!$F$42+(N('Player Data'!CL43)&gt;='Model Settings'!$E$43)*'Model Settings'!$F$43+(N('Player Data'!Q43)&gt;='Model Settings'!$E$44)*'Model Settings'!$F$44)/('Model Settings'!$F$39+'Model Settings'!$F$40+'Model Settings'!$F$41+'Model Settings'!$F$42+'Model Settings'!$F$43+'Model Settings'!$F$44),0)</f>
        <v>50</v>
      </c>
      <c r="G43" s="50" t="n">
        <f aca="false">ROUND(100*((N('Player Data'!BE43)&gt;='Model Settings'!$E$45)*'Model Settings'!$F$45+(N('Player Data'!BH43)&gt;='Model Settings'!$E$46)*'Model Settings'!$F$46+(N('Player Data'!U43)&gt;='Model Settings'!$E$47)*'Model Settings'!$F$47+(N('Player Data'!BN43)&gt;='Model Settings'!$E$48)*'Model Settings'!$F$48+(N('Player Data'!AX43)&gt;='Model Settings'!$E$49)*'Model Settings'!$F$49+(N('Player Data'!BL43)&gt;='Model Settings'!$E$50)*'Model Settings'!$F$50+(N('Player Data'!BI43)&gt;='Model Settings'!$E$51)*'Model Settings'!$F$51)/('Model Settings'!$F$45+'Model Settings'!$F$46+'Model Settings'!$F$47+'Model Settings'!$F$48+'Model Settings'!$F$49+'Model Settings'!$F$50+'Model Settings'!$F$51),0)</f>
        <v>14</v>
      </c>
      <c r="H43" s="34" t="str">
        <f aca="false">IF(AND(B43&lt;'Model Settings'!$E$66,E43&lt;'Model Settings'!$E$68),"Non-problem",IF(E43&gt;='Model Settings'!$E$68,"Financially vulnerable",IF(OR(N('Player Data'!BY43)&gt;=1,N('Player Data'!BX43)&gt;=2,N('Player Data'!BW43)&gt;=3),"Emotionally vulnerable","At-risk")))</f>
        <v>At-risk</v>
      </c>
      <c r="I43" s="34" t="str">
        <f aca="false">IF(OR(N('Player Data'!BY43)&gt;=1,'Player Data'!BZ43="Yes"),"Alert","None")</f>
        <v>None</v>
      </c>
      <c r="J43" s="34" t="str">
        <f aca="false">IF(OR(B43&gt;='Model Settings'!$E$67,'Player Data'!BM43="Yes",I43="Alert"),"Suppress",IF(AND(B43&gt;='Model Settings'!$E$66,'Player Data'!G43="Yes"),"Review VIP","Allow"))</f>
        <v>Suppress</v>
      </c>
      <c r="K43" s="50" t="n">
        <f aca="false">ROUND(100*((N('Player Data'!CH43)&gt;='Model Settings'!$E$52)*'Model Settings'!$F$52+(N('Player Data'!CI43)&gt;='Model Settings'!$E$53)*'Model Settings'!$F$53+(N('Player Data'!R43)&gt;='Model Settings'!$E$54)*'Model Settings'!$F$54+(N('Player Data'!Y43)&gt;='Model Settings'!$E$55)*'Model Settings'!$F$55+(N('Player Data'!AS43)&gt;='Model Settings'!$E$56)*'Model Settings'!$F$56)/('Model Settings'!$F$52+'Model Settings'!$F$53+'Model Settings'!$F$54+'Model Settings'!$F$55+'Model Settings'!$F$56),0)</f>
        <v>80</v>
      </c>
      <c r="L43" s="34" t="str">
        <f aca="false">IF('Player Data'!D43="Spain",ROUND(100*((N('Player Data'!H43)&gt;='Model Settings'!$E$57)*'Model Settings'!$F$57+(N('Player Data'!AI43)&gt;='Model Settings'!$E$58)*'Model Settings'!$F$58+(N('Player Data'!AL43)&gt;='Model Settings'!$E$59)*'Model Settings'!$F$59+(N('Player Data'!M43)&gt;='Model Settings'!$E$60)*'Model Settings'!$F$60+(N('Player Data'!X43)&lt;='Model Settings'!$E$61)*'Model Settings'!$F$61+(N('Player Data'!Y43)&gt;='Model Settings'!$E$62)*'Model Settings'!$F$62+(N('Player Data'!P43)&gt;='Model Settings'!$E$63)*'Model Settings'!$F$63)/('Model Settings'!$F$57+'Model Settings'!$F$58+'Model Settings'!$F$59+'Model Settings'!$F$60+'Model Settings'!$F$61+'Model Settings'!$F$62+'Model Settings'!$F$63),0),"n/a")</f>
        <v>n/a</v>
      </c>
      <c r="M43" s="34" t="str">
        <f aca="false">IF('Player Data'!CA43="None","No contact yet",IF('Player Data'!CA43="Improved","Working",IF('Player Data'!CA43="No change","Review approach","Escalate")))</f>
        <v>Escalate</v>
      </c>
      <c r="N43" s="49" t="str">
        <f aca="false">IF(OR('Player Data'!BM43="Yes",I43="Alert"),"High",IF(B43&gt;='Model Settings'!$E$67,"High",IF(OR(B43&gt;='Model Settings'!$E$66,D43&gt;='Model Settings'!$E$68,F43&gt;='Model Settings'!$E$68,K43&gt;='Model Settings'!$E$68),"Medium","Low")))</f>
        <v>High</v>
      </c>
      <c r="O43" s="34" t="str">
        <f aca="false">IF(N43="High","Contact player + review within 48h; stop marketing",IF(N43="Medium","Safer gambling message; monitor weekly","No action; routine monitoring"))</f>
        <v>Contact player + review within 48h; stop marketing</v>
      </c>
      <c r="P43" s="34" t="n">
        <f aca="false">IF(OR(N43="High",AND('Model Settings'!$E$70="High+Medium",N43="Medium")),1,0)</f>
        <v>1</v>
      </c>
      <c r="Q43" s="34" t="n">
        <f aca="false">'Player Data'!CM43</f>
        <v>0</v>
      </c>
    </row>
    <row r="44" customFormat="false" ht="15" hidden="false" customHeight="false" outlineLevel="0" collapsed="false">
      <c r="A44" s="49" t="str">
        <f aca="false">'Player Data'!A44</f>
        <v>P039</v>
      </c>
      <c r="B44" s="50" t="n">
        <f aca="false">ROUND(100*((N('Player Data'!U44)&gt;='Model Settings'!$E$5)*'Model Settings'!$F$5+(N('Player Data'!AT44)&gt;='Model Settings'!$E$6)*'Model Settings'!$F$6+(N('Player Data'!BI44)&gt;='Model Settings'!$E$7)*'Model Settings'!$F$7+(N('Player Data'!AL44)&gt;='Model Settings'!$E$8)*'Model Settings'!$F$8+(N('Player Data'!AH44)&gt;='Model Settings'!$E$9)*'Model Settings'!$F$9+(N('Player Data'!B44)&lt;='Model Settings'!$E$10)*'Model Settings'!$F$10+(N('Player Data'!M44)&gt;='Model Settings'!$E$11)*'Model Settings'!$F$11+(N('Player Data'!J44)&lt;='Model Settings'!$E$12)*'Model Settings'!$F$12+(N('Player Data'!V44)&gt;='Model Settings'!$E$13)*'Model Settings'!$F$13+(N('Player Data'!W44)&gt;='Model Settings'!$E$14)*'Model Settings'!$F$14+(N('Player Data'!AE44)&gt;='Model Settings'!$E$15)*'Model Settings'!$F$15+(N('Player Data'!BF44)&gt;='Model Settings'!$E$16)*'Model Settings'!$F$16+(N('Player Data'!AX44)&gt;='Model Settings'!$E$17)*'Model Settings'!$F$17+(N('Player Data'!AP44)&gt;='Model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44" s="34" t="str">
        <f aca="false">IF('Player Data'!E44&lt;='Model Settings'!$E$69,ROUND(100*((N('Player Data'!H44)&gt;='Model Settings'!$E$19)*'Model Settings'!$F$19+(N('Player Data'!S44)&gt;='Model Settings'!$E$20)*'Model Settings'!$F$20+(N('Player Data'!AH44)&gt;='Model Settings'!$E$21)*'Model Settings'!$F$21+(N('Player Data'!AX44)&gt;='Model Settings'!$E$22)*'Model Settings'!$F$22+(N('Player Data'!Y44)&gt;='Model Settings'!$E$23)*'Model Settings'!$F$23+(N('Player Data'!AM44)&gt;='Model Settings'!$E$24)*'Model Settings'!$F$24)/('Model Settings'!$F$19+'Model Settings'!$F$20+'Model Settings'!$F$21+'Model Settings'!$F$22+'Model Settings'!$F$23+'Model Settings'!$F$24),0),"n/a")</f>
        <v>n/a</v>
      </c>
      <c r="D44" s="50" t="n">
        <f aca="false">ROUND(100*((N('Player Data'!U44)&gt;='Model Settings'!$E$25)*'Model Settings'!$F$25+(N('Player Data'!V44)&gt;='Model Settings'!$E$26)*'Model Settings'!$F$26+(N('Player Data'!W44)&gt;='Model Settings'!$E$27)*'Model Settings'!$F$27+(N('Player Data'!AT44)&gt;='Model Settings'!$E$28)*'Model Settings'!$F$28+(N('Player Data'!AE44)&gt;='Model Settings'!$E$29)*'Model Settings'!$F$29+(N('Player Data'!AO44)&gt;='Model Settings'!$E$30)*'Model Settings'!$F$30+(N('Player Data'!AG44)&gt;='Model Settings'!$E$31)*'Model Settings'!$F$31)/('Model Settings'!$F$25+'Model Settings'!$F$26+'Model Settings'!$F$27+'Model Settings'!$F$28+'Model Settings'!$F$29+'Model Settings'!$F$30+'Model Settings'!$F$31),0)</f>
        <v>0</v>
      </c>
      <c r="E44" s="50" t="n">
        <f aca="false">ROUND(100*((N('Player Data'!Z44)&gt;='Model Settings'!$E$32)*'Model Settings'!$F$32+(N('Player Data'!BN44)&gt;='Model Settings'!$E$33)*'Model Settings'!$F$33+(N('Player Data'!BO44)&gt;='Model Settings'!$E$34)*'Model Settings'!$F$34+(N('Player Data'!BP44)&gt;='Model Settings'!$E$35)*'Model Settings'!$F$35+('Player Data'!BR44='Model Settings'!$E$36)*'Model Settings'!$F$36+(N('Player Data'!AW44)&gt;='Model Settings'!$E$37)*'Model Settings'!$F$37+(N('Player Data'!AF44)&lt;='Model Settings'!$E$38)*'Model Settings'!$F$38)/('Model Settings'!$F$32+'Model Settings'!$F$33+'Model Settings'!$F$34+'Model Settings'!$F$35+'Model Settings'!$F$36+'Model Settings'!$F$37+'Model Settings'!$F$38),0)</f>
        <v>14</v>
      </c>
      <c r="F44" s="50" t="n">
        <f aca="false">ROUND(100*((N('Player Data'!K44)&gt;='Model Settings'!$E$39)*'Model Settings'!$F$39+(N('Player Data'!P44)&gt;='Model Settings'!$E$40)*'Model Settings'!$F$40+(N('Player Data'!M44)&gt;='Model Settings'!$E$41)*'Model Settings'!$F$41+(N('Player Data'!AU44)&gt;='Model Settings'!$E$42)*'Model Settings'!$F$42+(N('Player Data'!CL44)&gt;='Model Settings'!$E$43)*'Model Settings'!$F$43+(N('Player Data'!Q44)&gt;='Model Settings'!$E$44)*'Model Settings'!$F$44)/('Model Settings'!$F$39+'Model Settings'!$F$40+'Model Settings'!$F$41+'Model Settings'!$F$42+'Model Settings'!$F$43+'Model Settings'!$F$44),0)</f>
        <v>17</v>
      </c>
      <c r="G44" s="50" t="n">
        <f aca="false">ROUND(100*((N('Player Data'!BE44)&gt;='Model Settings'!$E$45)*'Model Settings'!$F$45+(N('Player Data'!BH44)&gt;='Model Settings'!$E$46)*'Model Settings'!$F$46+(N('Player Data'!U44)&gt;='Model Settings'!$E$47)*'Model Settings'!$F$47+(N('Player Data'!BN44)&gt;='Model Settings'!$E$48)*'Model Settings'!$F$48+(N('Player Data'!AX44)&gt;='Model Settings'!$E$49)*'Model Settings'!$F$49+(N('Player Data'!BL44)&gt;='Model Settings'!$E$50)*'Model Settings'!$F$50+(N('Player Data'!BI44)&gt;='Model Settings'!$E$51)*'Model Settings'!$F$51)/('Model Settings'!$F$45+'Model Settings'!$F$46+'Model Settings'!$F$47+'Model Settings'!$F$48+'Model Settings'!$F$49+'Model Settings'!$F$50+'Model Settings'!$F$51),0)</f>
        <v>14</v>
      </c>
      <c r="H44" s="34" t="str">
        <f aca="false">IF(AND(B44&lt;'Model Settings'!$E$66,E44&lt;'Model Settings'!$E$68),"Non-problem",IF(E44&gt;='Model Settings'!$E$68,"Financially vulnerable",IF(OR(N('Player Data'!BY44)&gt;=1,N('Player Data'!BX44)&gt;=2,N('Player Data'!BW44)&gt;=3),"Emotionally vulnerable","At-risk")))</f>
        <v>Non-problem</v>
      </c>
      <c r="I44" s="34" t="str">
        <f aca="false">IF(OR(N('Player Data'!BY44)&gt;=1,'Player Data'!BZ44="Yes"),"Alert","None")</f>
        <v>None</v>
      </c>
      <c r="J44" s="34" t="str">
        <f aca="false">IF(OR(B44&gt;='Model Settings'!$E$67,'Player Data'!BM44="Yes",I44="Alert"),"Suppress",IF(AND(B44&gt;='Model Settings'!$E$66,'Player Data'!G44="Yes"),"Review VIP","Allow"))</f>
        <v>Allow</v>
      </c>
      <c r="K44" s="50" t="n">
        <f aca="false">ROUND(100*((N('Player Data'!CH44)&gt;='Model Settings'!$E$52)*'Model Settings'!$F$52+(N('Player Data'!CI44)&gt;='Model Settings'!$E$53)*'Model Settings'!$F$53+(N('Player Data'!R44)&gt;='Model Settings'!$E$54)*'Model Settings'!$F$54+(N('Player Data'!Y44)&gt;='Model Settings'!$E$55)*'Model Settings'!$F$55+(N('Player Data'!AS44)&gt;='Model Settings'!$E$56)*'Model Settings'!$F$56)/('Model Settings'!$F$52+'Model Settings'!$F$53+'Model Settings'!$F$54+'Model Settings'!$F$55+'Model Settings'!$F$56),0)</f>
        <v>20</v>
      </c>
      <c r="L44" s="34" t="str">
        <f aca="false">IF('Player Data'!D44="Spain",ROUND(100*((N('Player Data'!H44)&gt;='Model Settings'!$E$57)*'Model Settings'!$F$57+(N('Player Data'!AI44)&gt;='Model Settings'!$E$58)*'Model Settings'!$F$58+(N('Player Data'!AL44)&gt;='Model Settings'!$E$59)*'Model Settings'!$F$59+(N('Player Data'!M44)&gt;='Model Settings'!$E$60)*'Model Settings'!$F$60+(N('Player Data'!X44)&lt;='Model Settings'!$E$61)*'Model Settings'!$F$61+(N('Player Data'!Y44)&gt;='Model Settings'!$E$62)*'Model Settings'!$F$62+(N('Player Data'!P44)&gt;='Model Settings'!$E$63)*'Model Settings'!$F$63)/('Model Settings'!$F$57+'Model Settings'!$F$58+'Model Settings'!$F$59+'Model Settings'!$F$60+'Model Settings'!$F$61+'Model Settings'!$F$62+'Model Settings'!$F$63),0),"n/a")</f>
        <v>n/a</v>
      </c>
      <c r="M44" s="34" t="str">
        <f aca="false">IF('Player Data'!CA44="None","No contact yet",IF('Player Data'!CA44="Improved","Working",IF('Player Data'!CA44="No change","Review approach","Escalate")))</f>
        <v>No contact yet</v>
      </c>
      <c r="N44" s="49" t="str">
        <f aca="false">IF(OR('Player Data'!BM44="Yes",I44="Alert"),"High",IF(B44&gt;='Model Settings'!$E$67,"High",IF(OR(B44&gt;='Model Settings'!$E$66,D44&gt;='Model Settings'!$E$68,F44&gt;='Model Settings'!$E$68,K44&gt;='Model Settings'!$E$68),"Medium","Low")))</f>
        <v>Low</v>
      </c>
      <c r="O44" s="34" t="str">
        <f aca="false">IF(N44="High","Contact player + review within 48h; stop marketing",IF(N44="Medium","Safer gambling message; monitor weekly","No action; routine monitoring"))</f>
        <v>No action; routine monitoring</v>
      </c>
      <c r="P44" s="34" t="n">
        <f aca="false">IF(OR(N44="High",AND('Model Settings'!$E$70="High+Medium",N44="Medium")),1,0)</f>
        <v>0</v>
      </c>
      <c r="Q44" s="34" t="n">
        <f aca="false">'Player Data'!CM44</f>
        <v>0</v>
      </c>
    </row>
    <row r="45" customFormat="false" ht="15" hidden="false" customHeight="false" outlineLevel="0" collapsed="false">
      <c r="A45" s="49" t="str">
        <f aca="false">'Player Data'!A45</f>
        <v>P040</v>
      </c>
      <c r="B45" s="50" t="n">
        <f aca="false">ROUND(100*((N('Player Data'!U45)&gt;='Model Settings'!$E$5)*'Model Settings'!$F$5+(N('Player Data'!AT45)&gt;='Model Settings'!$E$6)*'Model Settings'!$F$6+(N('Player Data'!BI45)&gt;='Model Settings'!$E$7)*'Model Settings'!$F$7+(N('Player Data'!AL45)&gt;='Model Settings'!$E$8)*'Model Settings'!$F$8+(N('Player Data'!AH45)&gt;='Model Settings'!$E$9)*'Model Settings'!$F$9+(N('Player Data'!B45)&lt;='Model Settings'!$E$10)*'Model Settings'!$F$10+(N('Player Data'!M45)&gt;='Model Settings'!$E$11)*'Model Settings'!$F$11+(N('Player Data'!J45)&lt;='Model Settings'!$E$12)*'Model Settings'!$F$12+(N('Player Data'!V45)&gt;='Model Settings'!$E$13)*'Model Settings'!$F$13+(N('Player Data'!W45)&gt;='Model Settings'!$E$14)*'Model Settings'!$F$14+(N('Player Data'!AE45)&gt;='Model Settings'!$E$15)*'Model Settings'!$F$15+(N('Player Data'!BF45)&gt;='Model Settings'!$E$16)*'Model Settings'!$F$16+(N('Player Data'!AX45)&gt;='Model Settings'!$E$17)*'Model Settings'!$F$17+(N('Player Data'!AP45)&gt;='Model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15</v>
      </c>
      <c r="C45" s="34" t="str">
        <f aca="false">IF('Player Data'!E45&lt;='Model Settings'!$E$69,ROUND(100*((N('Player Data'!H45)&gt;='Model Settings'!$E$19)*'Model Settings'!$F$19+(N('Player Data'!S45)&gt;='Model Settings'!$E$20)*'Model Settings'!$F$20+(N('Player Data'!AH45)&gt;='Model Settings'!$E$21)*'Model Settings'!$F$21+(N('Player Data'!AX45)&gt;='Model Settings'!$E$22)*'Model Settings'!$F$22+(N('Player Data'!Y45)&gt;='Model Settings'!$E$23)*'Model Settings'!$F$23+(N('Player Data'!AM45)&gt;='Model Settings'!$E$24)*'Model Settings'!$F$24)/('Model Settings'!$F$19+'Model Settings'!$F$20+'Model Settings'!$F$21+'Model Settings'!$F$22+'Model Settings'!$F$23+'Model Settings'!$F$24),0),"n/a")</f>
        <v>n/a</v>
      </c>
      <c r="D45" s="50" t="n">
        <f aca="false">ROUND(100*((N('Player Data'!U45)&gt;='Model Settings'!$E$25)*'Model Settings'!$F$25+(N('Player Data'!V45)&gt;='Model Settings'!$E$26)*'Model Settings'!$F$26+(N('Player Data'!W45)&gt;='Model Settings'!$E$27)*'Model Settings'!$F$27+(N('Player Data'!AT45)&gt;='Model Settings'!$E$28)*'Model Settings'!$F$28+(N('Player Data'!AE45)&gt;='Model Settings'!$E$29)*'Model Settings'!$F$29+(N('Player Data'!AO45)&gt;='Model Settings'!$E$30)*'Model Settings'!$F$30+(N('Player Data'!AG45)&gt;='Model Settings'!$E$31)*'Model Settings'!$F$31)/('Model Settings'!$F$25+'Model Settings'!$F$26+'Model Settings'!$F$27+'Model Settings'!$F$28+'Model Settings'!$F$29+'Model Settings'!$F$30+'Model Settings'!$F$31),0)</f>
        <v>0</v>
      </c>
      <c r="E45" s="50" t="n">
        <f aca="false">ROUND(100*((N('Player Data'!Z45)&gt;='Model Settings'!$E$32)*'Model Settings'!$F$32+(N('Player Data'!BN45)&gt;='Model Settings'!$E$33)*'Model Settings'!$F$33+(N('Player Data'!BO45)&gt;='Model Settings'!$E$34)*'Model Settings'!$F$34+(N('Player Data'!BP45)&gt;='Model Settings'!$E$35)*'Model Settings'!$F$35+('Player Data'!BR45='Model Settings'!$E$36)*'Model Settings'!$F$36+(N('Player Data'!AW45)&gt;='Model Settings'!$E$37)*'Model Settings'!$F$37+(N('Player Data'!AF45)&lt;='Model Settings'!$E$38)*'Model Settings'!$F$38)/('Model Settings'!$F$32+'Model Settings'!$F$33+'Model Settings'!$F$34+'Model Settings'!$F$35+'Model Settings'!$F$36+'Model Settings'!$F$37+'Model Settings'!$F$38),0)</f>
        <v>14</v>
      </c>
      <c r="F45" s="50" t="n">
        <f aca="false">ROUND(100*((N('Player Data'!K45)&gt;='Model Settings'!$E$39)*'Model Settings'!$F$39+(N('Player Data'!P45)&gt;='Model Settings'!$E$40)*'Model Settings'!$F$40+(N('Player Data'!M45)&gt;='Model Settings'!$E$41)*'Model Settings'!$F$41+(N('Player Data'!AU45)&gt;='Model Settings'!$E$42)*'Model Settings'!$F$42+(N('Player Data'!CL45)&gt;='Model Settings'!$E$43)*'Model Settings'!$F$43+(N('Player Data'!Q45)&gt;='Model Settings'!$E$44)*'Model Settings'!$F$44)/('Model Settings'!$F$39+'Model Settings'!$F$40+'Model Settings'!$F$41+'Model Settings'!$F$42+'Model Settings'!$F$43+'Model Settings'!$F$44),0)</f>
        <v>17</v>
      </c>
      <c r="G45" s="50" t="n">
        <f aca="false">ROUND(100*((N('Player Data'!BE45)&gt;='Model Settings'!$E$45)*'Model Settings'!$F$45+(N('Player Data'!BH45)&gt;='Model Settings'!$E$46)*'Model Settings'!$F$46+(N('Player Data'!U45)&gt;='Model Settings'!$E$47)*'Model Settings'!$F$47+(N('Player Data'!BN45)&gt;='Model Settings'!$E$48)*'Model Settings'!$F$48+(N('Player Data'!AX45)&gt;='Model Settings'!$E$49)*'Model Settings'!$F$49+(N('Player Data'!BL45)&gt;='Model Settings'!$E$50)*'Model Settings'!$F$50+(N('Player Data'!BI45)&gt;='Model Settings'!$E$51)*'Model Settings'!$F$51)/('Model Settings'!$F$45+'Model Settings'!$F$46+'Model Settings'!$F$47+'Model Settings'!$F$48+'Model Settings'!$F$49+'Model Settings'!$F$50+'Model Settings'!$F$51),0)</f>
        <v>0</v>
      </c>
      <c r="H45" s="34" t="str">
        <f aca="false">IF(AND(B45&lt;'Model Settings'!$E$66,E45&lt;'Model Settings'!$E$68),"Non-problem",IF(E45&gt;='Model Settings'!$E$68,"Financially vulnerable",IF(OR(N('Player Data'!BY45)&gt;=1,N('Player Data'!BX45)&gt;=2,N('Player Data'!BW45)&gt;=3),"Emotionally vulnerable","At-risk")))</f>
        <v>Non-problem</v>
      </c>
      <c r="I45" s="34" t="str">
        <f aca="false">IF(OR(N('Player Data'!BY45)&gt;=1,'Player Data'!BZ45="Yes"),"Alert","None")</f>
        <v>None</v>
      </c>
      <c r="J45" s="34" t="str">
        <f aca="false">IF(OR(B45&gt;='Model Settings'!$E$67,'Player Data'!BM45="Yes",I45="Alert"),"Suppress",IF(AND(B45&gt;='Model Settings'!$E$66,'Player Data'!G45="Yes"),"Review VIP","Allow"))</f>
        <v>Allow</v>
      </c>
      <c r="K45" s="50" t="n">
        <f aca="false">ROUND(100*((N('Player Data'!CH45)&gt;='Model Settings'!$E$52)*'Model Settings'!$F$52+(N('Player Data'!CI45)&gt;='Model Settings'!$E$53)*'Model Settings'!$F$53+(N('Player Data'!R45)&gt;='Model Settings'!$E$54)*'Model Settings'!$F$54+(N('Player Data'!Y45)&gt;='Model Settings'!$E$55)*'Model Settings'!$F$55+(N('Player Data'!AS45)&gt;='Model Settings'!$E$56)*'Model Settings'!$F$56)/('Model Settings'!$F$52+'Model Settings'!$F$53+'Model Settings'!$F$54+'Model Settings'!$F$55+'Model Settings'!$F$56),0)</f>
        <v>20</v>
      </c>
      <c r="L45" s="34" t="str">
        <f aca="false">IF('Player Data'!D45="Spain",ROUND(100*((N('Player Data'!H45)&gt;='Model Settings'!$E$57)*'Model Settings'!$F$57+(N('Player Data'!AI45)&gt;='Model Settings'!$E$58)*'Model Settings'!$F$58+(N('Player Data'!AL45)&gt;='Model Settings'!$E$59)*'Model Settings'!$F$59+(N('Player Data'!M45)&gt;='Model Settings'!$E$60)*'Model Settings'!$F$60+(N('Player Data'!X45)&lt;='Model Settings'!$E$61)*'Model Settings'!$F$61+(N('Player Data'!Y45)&gt;='Model Settings'!$E$62)*'Model Settings'!$F$62+(N('Player Data'!P45)&gt;='Model Settings'!$E$63)*'Model Settings'!$F$63)/('Model Settings'!$F$57+'Model Settings'!$F$58+'Model Settings'!$F$59+'Model Settings'!$F$60+'Model Settings'!$F$61+'Model Settings'!$F$62+'Model Settings'!$F$63),0),"n/a")</f>
        <v>n/a</v>
      </c>
      <c r="M45" s="34" t="str">
        <f aca="false">IF('Player Data'!CA45="None","No contact yet",IF('Player Data'!CA45="Improved","Working",IF('Player Data'!CA45="No change","Review approach","Escalate")))</f>
        <v>No contact yet</v>
      </c>
      <c r="N45" s="49" t="str">
        <f aca="false">IF(OR('Player Data'!BM45="Yes",I45="Alert"),"High",IF(B45&gt;='Model Settings'!$E$67,"High",IF(OR(B45&gt;='Model Settings'!$E$66,D45&gt;='Model Settings'!$E$68,F45&gt;='Model Settings'!$E$68,K45&gt;='Model Settings'!$E$68),"Medium","Low")))</f>
        <v>Low</v>
      </c>
      <c r="O45" s="34" t="str">
        <f aca="false">IF(N45="High","Contact player + review within 48h; stop marketing",IF(N45="Medium","Safer gambling message; monitor weekly","No action; routine monitoring"))</f>
        <v>No action; routine monitoring</v>
      </c>
      <c r="P45" s="34" t="n">
        <f aca="false">IF(OR(N45="High",AND('Model Settings'!$E$70="High+Medium",N45="Medium")),1,0)</f>
        <v>0</v>
      </c>
      <c r="Q45" s="34" t="n">
        <f aca="false">'Player Data'!CM45</f>
        <v>0</v>
      </c>
    </row>
    <row r="46" customFormat="false" ht="15" hidden="false" customHeight="false" outlineLevel="0" collapsed="false">
      <c r="A46" s="49" t="str">
        <f aca="false">'Player Data'!A46</f>
        <v>P041</v>
      </c>
      <c r="B46" s="50" t="n">
        <f aca="false">ROUND(100*((N('Player Data'!U46)&gt;='Model Settings'!$E$5)*'Model Settings'!$F$5+(N('Player Data'!AT46)&gt;='Model Settings'!$E$6)*'Model Settings'!$F$6+(N('Player Data'!BI46)&gt;='Model Settings'!$E$7)*'Model Settings'!$F$7+(N('Player Data'!AL46)&gt;='Model Settings'!$E$8)*'Model Settings'!$F$8+(N('Player Data'!AH46)&gt;='Model Settings'!$E$9)*'Model Settings'!$F$9+(N('Player Data'!B46)&lt;='Model Settings'!$E$10)*'Model Settings'!$F$10+(N('Player Data'!M46)&gt;='Model Settings'!$E$11)*'Model Settings'!$F$11+(N('Player Data'!J46)&lt;='Model Settings'!$E$12)*'Model Settings'!$F$12+(N('Player Data'!V46)&gt;='Model Settings'!$E$13)*'Model Settings'!$F$13+(N('Player Data'!W46)&gt;='Model Settings'!$E$14)*'Model Settings'!$F$14+(N('Player Data'!AE46)&gt;='Model Settings'!$E$15)*'Model Settings'!$F$15+(N('Player Data'!BF46)&gt;='Model Settings'!$E$16)*'Model Settings'!$F$16+(N('Player Data'!AX46)&gt;='Model Settings'!$E$17)*'Model Settings'!$F$17+(N('Player Data'!AP46)&gt;='Model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46" s="34" t="str">
        <f aca="false">IF('Player Data'!E46&lt;='Model Settings'!$E$69,ROUND(100*((N('Player Data'!H46)&gt;='Model Settings'!$E$19)*'Model Settings'!$F$19+(N('Player Data'!S46)&gt;='Model Settings'!$E$20)*'Model Settings'!$F$20+(N('Player Data'!AH46)&gt;='Model Settings'!$E$21)*'Model Settings'!$F$21+(N('Player Data'!AX46)&gt;='Model Settings'!$E$22)*'Model Settings'!$F$22+(N('Player Data'!Y46)&gt;='Model Settings'!$E$23)*'Model Settings'!$F$23+(N('Player Data'!AM46)&gt;='Model Settings'!$E$24)*'Model Settings'!$F$24)/('Model Settings'!$F$19+'Model Settings'!$F$20+'Model Settings'!$F$21+'Model Settings'!$F$22+'Model Settings'!$F$23+'Model Settings'!$F$24),0),"n/a")</f>
        <v>n/a</v>
      </c>
      <c r="D46" s="50" t="n">
        <f aca="false">ROUND(100*((N('Player Data'!U46)&gt;='Model Settings'!$E$25)*'Model Settings'!$F$25+(N('Player Data'!V46)&gt;='Model Settings'!$E$26)*'Model Settings'!$F$26+(N('Player Data'!W46)&gt;='Model Settings'!$E$27)*'Model Settings'!$F$27+(N('Player Data'!AT46)&gt;='Model Settings'!$E$28)*'Model Settings'!$F$28+(N('Player Data'!AE46)&gt;='Model Settings'!$E$29)*'Model Settings'!$F$29+(N('Player Data'!AO46)&gt;='Model Settings'!$E$30)*'Model Settings'!$F$30+(N('Player Data'!AG46)&gt;='Model Settings'!$E$31)*'Model Settings'!$F$31)/('Model Settings'!$F$25+'Model Settings'!$F$26+'Model Settings'!$F$27+'Model Settings'!$F$28+'Model Settings'!$F$29+'Model Settings'!$F$30+'Model Settings'!$F$31),0)</f>
        <v>0</v>
      </c>
      <c r="E46" s="50" t="n">
        <f aca="false">ROUND(100*((N('Player Data'!Z46)&gt;='Model Settings'!$E$32)*'Model Settings'!$F$32+(N('Player Data'!BN46)&gt;='Model Settings'!$E$33)*'Model Settings'!$F$33+(N('Player Data'!BO46)&gt;='Model Settings'!$E$34)*'Model Settings'!$F$34+(N('Player Data'!BP46)&gt;='Model Settings'!$E$35)*'Model Settings'!$F$35+('Player Data'!BR46='Model Settings'!$E$36)*'Model Settings'!$F$36+(N('Player Data'!AW46)&gt;='Model Settings'!$E$37)*'Model Settings'!$F$37+(N('Player Data'!AF46)&lt;='Model Settings'!$E$38)*'Model Settings'!$F$38)/('Model Settings'!$F$32+'Model Settings'!$F$33+'Model Settings'!$F$34+'Model Settings'!$F$35+'Model Settings'!$F$36+'Model Settings'!$F$37+'Model Settings'!$F$38),0)</f>
        <v>0</v>
      </c>
      <c r="F46" s="50" t="n">
        <f aca="false">ROUND(100*((N('Player Data'!K46)&gt;='Model Settings'!$E$39)*'Model Settings'!$F$39+(N('Player Data'!P46)&gt;='Model Settings'!$E$40)*'Model Settings'!$F$40+(N('Player Data'!M46)&gt;='Model Settings'!$E$41)*'Model Settings'!$F$41+(N('Player Data'!AU46)&gt;='Model Settings'!$E$42)*'Model Settings'!$F$42+(N('Player Data'!CL46)&gt;='Model Settings'!$E$43)*'Model Settings'!$F$43+(N('Player Data'!Q46)&gt;='Model Settings'!$E$44)*'Model Settings'!$F$44)/('Model Settings'!$F$39+'Model Settings'!$F$40+'Model Settings'!$F$41+'Model Settings'!$F$42+'Model Settings'!$F$43+'Model Settings'!$F$44),0)</f>
        <v>17</v>
      </c>
      <c r="G46" s="50" t="n">
        <f aca="false">ROUND(100*((N('Player Data'!BE46)&gt;='Model Settings'!$E$45)*'Model Settings'!$F$45+(N('Player Data'!BH46)&gt;='Model Settings'!$E$46)*'Model Settings'!$F$46+(N('Player Data'!U46)&gt;='Model Settings'!$E$47)*'Model Settings'!$F$47+(N('Player Data'!BN46)&gt;='Model Settings'!$E$48)*'Model Settings'!$F$48+(N('Player Data'!AX46)&gt;='Model Settings'!$E$49)*'Model Settings'!$F$49+(N('Player Data'!BL46)&gt;='Model Settings'!$E$50)*'Model Settings'!$F$50+(N('Player Data'!BI46)&gt;='Model Settings'!$E$51)*'Model Settings'!$F$51)/('Model Settings'!$F$45+'Model Settings'!$F$46+'Model Settings'!$F$47+'Model Settings'!$F$48+'Model Settings'!$F$49+'Model Settings'!$F$50+'Model Settings'!$F$51),0)</f>
        <v>14</v>
      </c>
      <c r="H46" s="34" t="str">
        <f aca="false">IF(AND(B46&lt;'Model Settings'!$E$66,E46&lt;'Model Settings'!$E$68),"Non-problem",IF(E46&gt;='Model Settings'!$E$68,"Financially vulnerable",IF(OR(N('Player Data'!BY46)&gt;=1,N('Player Data'!BX46)&gt;=2,N('Player Data'!BW46)&gt;=3),"Emotionally vulnerable","At-risk")))</f>
        <v>Non-problem</v>
      </c>
      <c r="I46" s="34" t="str">
        <f aca="false">IF(OR(N('Player Data'!BY46)&gt;=1,'Player Data'!BZ46="Yes"),"Alert","None")</f>
        <v>None</v>
      </c>
      <c r="J46" s="34" t="str">
        <f aca="false">IF(OR(B46&gt;='Model Settings'!$E$67,'Player Data'!BM46="Yes",I46="Alert"),"Suppress",IF(AND(B46&gt;='Model Settings'!$E$66,'Player Data'!G46="Yes"),"Review VIP","Allow"))</f>
        <v>Allow</v>
      </c>
      <c r="K46" s="50" t="n">
        <f aca="false">ROUND(100*((N('Player Data'!CH46)&gt;='Model Settings'!$E$52)*'Model Settings'!$F$52+(N('Player Data'!CI46)&gt;='Model Settings'!$E$53)*'Model Settings'!$F$53+(N('Player Data'!R46)&gt;='Model Settings'!$E$54)*'Model Settings'!$F$54+(N('Player Data'!Y46)&gt;='Model Settings'!$E$55)*'Model Settings'!$F$55+(N('Player Data'!AS46)&gt;='Model Settings'!$E$56)*'Model Settings'!$F$56)/('Model Settings'!$F$52+'Model Settings'!$F$53+'Model Settings'!$F$54+'Model Settings'!$F$55+'Model Settings'!$F$56),0)</f>
        <v>20</v>
      </c>
      <c r="L46" s="34" t="n">
        <f aca="false">IF('Player Data'!D46="Spain",ROUND(100*((N('Player Data'!H46)&gt;='Model Settings'!$E$57)*'Model Settings'!$F$57+(N('Player Data'!AI46)&gt;='Model Settings'!$E$58)*'Model Settings'!$F$58+(N('Player Data'!AL46)&gt;='Model Settings'!$E$59)*'Model Settings'!$F$59+(N('Player Data'!M46)&gt;='Model Settings'!$E$60)*'Model Settings'!$F$60+(N('Player Data'!X46)&lt;='Model Settings'!$E$61)*'Model Settings'!$F$61+(N('Player Data'!Y46)&gt;='Model Settings'!$E$62)*'Model Settings'!$F$62+(N('Player Data'!P46)&gt;='Model Settings'!$E$63)*'Model Settings'!$F$63)/('Model Settings'!$F$57+'Model Settings'!$F$58+'Model Settings'!$F$59+'Model Settings'!$F$60+'Model Settings'!$F$61+'Model Settings'!$F$62+'Model Settings'!$F$63),0),"n/a")</f>
        <v>43</v>
      </c>
      <c r="M46" s="34" t="str">
        <f aca="false">IF('Player Data'!CA46="None","No contact yet",IF('Player Data'!CA46="Improved","Working",IF('Player Data'!CA46="No change","Review approach","Escalate")))</f>
        <v>No contact yet</v>
      </c>
      <c r="N46" s="49" t="str">
        <f aca="false">IF(OR('Player Data'!BM46="Yes",I46="Alert"),"High",IF(B46&gt;='Model Settings'!$E$67,"High",IF(OR(B46&gt;='Model Settings'!$E$66,D46&gt;='Model Settings'!$E$68,F46&gt;='Model Settings'!$E$68,K46&gt;='Model Settings'!$E$68),"Medium","Low")))</f>
        <v>Low</v>
      </c>
      <c r="O46" s="34" t="str">
        <f aca="false">IF(N46="High","Contact player + review within 48h; stop marketing",IF(N46="Medium","Safer gambling message; monitor weekly","No action; routine monitoring"))</f>
        <v>No action; routine monitoring</v>
      </c>
      <c r="P46" s="34" t="n">
        <f aca="false">IF(OR(N46="High",AND('Model Settings'!$E$70="High+Medium",N46="Medium")),1,0)</f>
        <v>0</v>
      </c>
      <c r="Q46" s="34" t="n">
        <f aca="false">'Player Data'!CM46</f>
        <v>0</v>
      </c>
    </row>
    <row r="47" customFormat="false" ht="15" hidden="false" customHeight="false" outlineLevel="0" collapsed="false">
      <c r="A47" s="49" t="str">
        <f aca="false">'Player Data'!A47</f>
        <v>P042</v>
      </c>
      <c r="B47" s="50" t="n">
        <f aca="false">ROUND(100*((N('Player Data'!U47)&gt;='Model Settings'!$E$5)*'Model Settings'!$F$5+(N('Player Data'!AT47)&gt;='Model Settings'!$E$6)*'Model Settings'!$F$6+(N('Player Data'!BI47)&gt;='Model Settings'!$E$7)*'Model Settings'!$F$7+(N('Player Data'!AL47)&gt;='Model Settings'!$E$8)*'Model Settings'!$F$8+(N('Player Data'!AH47)&gt;='Model Settings'!$E$9)*'Model Settings'!$F$9+(N('Player Data'!B47)&lt;='Model Settings'!$E$10)*'Model Settings'!$F$10+(N('Player Data'!M47)&gt;='Model Settings'!$E$11)*'Model Settings'!$F$11+(N('Player Data'!J47)&lt;='Model Settings'!$E$12)*'Model Settings'!$F$12+(N('Player Data'!V47)&gt;='Model Settings'!$E$13)*'Model Settings'!$F$13+(N('Player Data'!W47)&gt;='Model Settings'!$E$14)*'Model Settings'!$F$14+(N('Player Data'!AE47)&gt;='Model Settings'!$E$15)*'Model Settings'!$F$15+(N('Player Data'!BF47)&gt;='Model Settings'!$E$16)*'Model Settings'!$F$16+(N('Player Data'!AX47)&gt;='Model Settings'!$E$17)*'Model Settings'!$F$17+(N('Player Data'!AP47)&gt;='Model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47" s="34" t="str">
        <f aca="false">IF('Player Data'!E47&lt;='Model Settings'!$E$69,ROUND(100*((N('Player Data'!H47)&gt;='Model Settings'!$E$19)*'Model Settings'!$F$19+(N('Player Data'!S47)&gt;='Model Settings'!$E$20)*'Model Settings'!$F$20+(N('Player Data'!AH47)&gt;='Model Settings'!$E$21)*'Model Settings'!$F$21+(N('Player Data'!AX47)&gt;='Model Settings'!$E$22)*'Model Settings'!$F$22+(N('Player Data'!Y47)&gt;='Model Settings'!$E$23)*'Model Settings'!$F$23+(N('Player Data'!AM47)&gt;='Model Settings'!$E$24)*'Model Settings'!$F$24)/('Model Settings'!$F$19+'Model Settings'!$F$20+'Model Settings'!$F$21+'Model Settings'!$F$22+'Model Settings'!$F$23+'Model Settings'!$F$24),0),"n/a")</f>
        <v>n/a</v>
      </c>
      <c r="D47" s="50" t="n">
        <f aca="false">ROUND(100*((N('Player Data'!U47)&gt;='Model Settings'!$E$25)*'Model Settings'!$F$25+(N('Player Data'!V47)&gt;='Model Settings'!$E$26)*'Model Settings'!$F$26+(N('Player Data'!W47)&gt;='Model Settings'!$E$27)*'Model Settings'!$F$27+(N('Player Data'!AT47)&gt;='Model Settings'!$E$28)*'Model Settings'!$F$28+(N('Player Data'!AE47)&gt;='Model Settings'!$E$29)*'Model Settings'!$F$29+(N('Player Data'!AO47)&gt;='Model Settings'!$E$30)*'Model Settings'!$F$30+(N('Player Data'!AG47)&gt;='Model Settings'!$E$31)*'Model Settings'!$F$31)/('Model Settings'!$F$25+'Model Settings'!$F$26+'Model Settings'!$F$27+'Model Settings'!$F$28+'Model Settings'!$F$29+'Model Settings'!$F$30+'Model Settings'!$F$31),0)</f>
        <v>0</v>
      </c>
      <c r="E47" s="50" t="n">
        <f aca="false">ROUND(100*((N('Player Data'!Z47)&gt;='Model Settings'!$E$32)*'Model Settings'!$F$32+(N('Player Data'!BN47)&gt;='Model Settings'!$E$33)*'Model Settings'!$F$33+(N('Player Data'!BO47)&gt;='Model Settings'!$E$34)*'Model Settings'!$F$34+(N('Player Data'!BP47)&gt;='Model Settings'!$E$35)*'Model Settings'!$F$35+('Player Data'!BR47='Model Settings'!$E$36)*'Model Settings'!$F$36+(N('Player Data'!AW47)&gt;='Model Settings'!$E$37)*'Model Settings'!$F$37+(N('Player Data'!AF47)&lt;='Model Settings'!$E$38)*'Model Settings'!$F$38)/('Model Settings'!$F$32+'Model Settings'!$F$33+'Model Settings'!$F$34+'Model Settings'!$F$35+'Model Settings'!$F$36+'Model Settings'!$F$37+'Model Settings'!$F$38),0)</f>
        <v>14</v>
      </c>
      <c r="F47" s="50" t="n">
        <f aca="false">ROUND(100*((N('Player Data'!K47)&gt;='Model Settings'!$E$39)*'Model Settings'!$F$39+(N('Player Data'!P47)&gt;='Model Settings'!$E$40)*'Model Settings'!$F$40+(N('Player Data'!M47)&gt;='Model Settings'!$E$41)*'Model Settings'!$F$41+(N('Player Data'!AU47)&gt;='Model Settings'!$E$42)*'Model Settings'!$F$42+(N('Player Data'!CL47)&gt;='Model Settings'!$E$43)*'Model Settings'!$F$43+(N('Player Data'!Q47)&gt;='Model Settings'!$E$44)*'Model Settings'!$F$44)/('Model Settings'!$F$39+'Model Settings'!$F$40+'Model Settings'!$F$41+'Model Settings'!$F$42+'Model Settings'!$F$43+'Model Settings'!$F$44),0)</f>
        <v>0</v>
      </c>
      <c r="G47" s="50" t="n">
        <f aca="false">ROUND(100*((N('Player Data'!BE47)&gt;='Model Settings'!$E$45)*'Model Settings'!$F$45+(N('Player Data'!BH47)&gt;='Model Settings'!$E$46)*'Model Settings'!$F$46+(N('Player Data'!U47)&gt;='Model Settings'!$E$47)*'Model Settings'!$F$47+(N('Player Data'!BN47)&gt;='Model Settings'!$E$48)*'Model Settings'!$F$48+(N('Player Data'!AX47)&gt;='Model Settings'!$E$49)*'Model Settings'!$F$49+(N('Player Data'!BL47)&gt;='Model Settings'!$E$50)*'Model Settings'!$F$50+(N('Player Data'!BI47)&gt;='Model Settings'!$E$51)*'Model Settings'!$F$51)/('Model Settings'!$F$45+'Model Settings'!$F$46+'Model Settings'!$F$47+'Model Settings'!$F$48+'Model Settings'!$F$49+'Model Settings'!$F$50+'Model Settings'!$F$51),0)</f>
        <v>0</v>
      </c>
      <c r="H47" s="34" t="str">
        <f aca="false">IF(AND(B47&lt;'Model Settings'!$E$66,E47&lt;'Model Settings'!$E$68),"Non-problem",IF(E47&gt;='Model Settings'!$E$68,"Financially vulnerable",IF(OR(N('Player Data'!BY47)&gt;=1,N('Player Data'!BX47)&gt;=2,N('Player Data'!BW47)&gt;=3),"Emotionally vulnerable","At-risk")))</f>
        <v>Non-problem</v>
      </c>
      <c r="I47" s="34" t="str">
        <f aca="false">IF(OR(N('Player Data'!BY47)&gt;=1,'Player Data'!BZ47="Yes"),"Alert","None")</f>
        <v>None</v>
      </c>
      <c r="J47" s="34" t="str">
        <f aca="false">IF(OR(B47&gt;='Model Settings'!$E$67,'Player Data'!BM47="Yes",I47="Alert"),"Suppress",IF(AND(B47&gt;='Model Settings'!$E$66,'Player Data'!G47="Yes"),"Review VIP","Allow"))</f>
        <v>Allow</v>
      </c>
      <c r="K47" s="50" t="n">
        <f aca="false">ROUND(100*((N('Player Data'!CH47)&gt;='Model Settings'!$E$52)*'Model Settings'!$F$52+(N('Player Data'!CI47)&gt;='Model Settings'!$E$53)*'Model Settings'!$F$53+(N('Player Data'!R47)&gt;='Model Settings'!$E$54)*'Model Settings'!$F$54+(N('Player Data'!Y47)&gt;='Model Settings'!$E$55)*'Model Settings'!$F$55+(N('Player Data'!AS47)&gt;='Model Settings'!$E$56)*'Model Settings'!$F$56)/('Model Settings'!$F$52+'Model Settings'!$F$53+'Model Settings'!$F$54+'Model Settings'!$F$55+'Model Settings'!$F$56),0)</f>
        <v>20</v>
      </c>
      <c r="L47" s="34" t="str">
        <f aca="false">IF('Player Data'!D47="Spain",ROUND(100*((N('Player Data'!H47)&gt;='Model Settings'!$E$57)*'Model Settings'!$F$57+(N('Player Data'!AI47)&gt;='Model Settings'!$E$58)*'Model Settings'!$F$58+(N('Player Data'!AL47)&gt;='Model Settings'!$E$59)*'Model Settings'!$F$59+(N('Player Data'!M47)&gt;='Model Settings'!$E$60)*'Model Settings'!$F$60+(N('Player Data'!X47)&lt;='Model Settings'!$E$61)*'Model Settings'!$F$61+(N('Player Data'!Y47)&gt;='Model Settings'!$E$62)*'Model Settings'!$F$62+(N('Player Data'!P47)&gt;='Model Settings'!$E$63)*'Model Settings'!$F$63)/('Model Settings'!$F$57+'Model Settings'!$F$58+'Model Settings'!$F$59+'Model Settings'!$F$60+'Model Settings'!$F$61+'Model Settings'!$F$62+'Model Settings'!$F$63),0),"n/a")</f>
        <v>n/a</v>
      </c>
      <c r="M47" s="34" t="str">
        <f aca="false">IF('Player Data'!CA47="None","No contact yet",IF('Player Data'!CA47="Improved","Working",IF('Player Data'!CA47="No change","Review approach","Escalate")))</f>
        <v>No contact yet</v>
      </c>
      <c r="N47" s="49" t="str">
        <f aca="false">IF(OR('Player Data'!BM47="Yes",I47="Alert"),"High",IF(B47&gt;='Model Settings'!$E$67,"High",IF(OR(B47&gt;='Model Settings'!$E$66,D47&gt;='Model Settings'!$E$68,F47&gt;='Model Settings'!$E$68,K47&gt;='Model Settings'!$E$68),"Medium","Low")))</f>
        <v>Low</v>
      </c>
      <c r="O47" s="34" t="str">
        <f aca="false">IF(N47="High","Contact player + review within 48h; stop marketing",IF(N47="Medium","Safer gambling message; monitor weekly","No action; routine monitoring"))</f>
        <v>No action; routine monitoring</v>
      </c>
      <c r="P47" s="34" t="n">
        <f aca="false">IF(OR(N47="High",AND('Model Settings'!$E$70="High+Medium",N47="Medium")),1,0)</f>
        <v>0</v>
      </c>
      <c r="Q47" s="34" t="n">
        <f aca="false">'Player Data'!CM47</f>
        <v>0</v>
      </c>
    </row>
    <row r="48" customFormat="false" ht="15" hidden="false" customHeight="false" outlineLevel="0" collapsed="false">
      <c r="A48" s="49" t="str">
        <f aca="false">'Player Data'!A48</f>
        <v>P043</v>
      </c>
      <c r="B48" s="50" t="n">
        <f aca="false">ROUND(100*((N('Player Data'!U48)&gt;='Model Settings'!$E$5)*'Model Settings'!$F$5+(N('Player Data'!AT48)&gt;='Model Settings'!$E$6)*'Model Settings'!$F$6+(N('Player Data'!BI48)&gt;='Model Settings'!$E$7)*'Model Settings'!$F$7+(N('Player Data'!AL48)&gt;='Model Settings'!$E$8)*'Model Settings'!$F$8+(N('Player Data'!AH48)&gt;='Model Settings'!$E$9)*'Model Settings'!$F$9+(N('Player Data'!B48)&lt;='Model Settings'!$E$10)*'Model Settings'!$F$10+(N('Player Data'!M48)&gt;='Model Settings'!$E$11)*'Model Settings'!$F$11+(N('Player Data'!J48)&lt;='Model Settings'!$E$12)*'Model Settings'!$F$12+(N('Player Data'!V48)&gt;='Model Settings'!$E$13)*'Model Settings'!$F$13+(N('Player Data'!W48)&gt;='Model Settings'!$E$14)*'Model Settings'!$F$14+(N('Player Data'!AE48)&gt;='Model Settings'!$E$15)*'Model Settings'!$F$15+(N('Player Data'!BF48)&gt;='Model Settings'!$E$16)*'Model Settings'!$F$16+(N('Player Data'!AX48)&gt;='Model Settings'!$E$17)*'Model Settings'!$F$17+(N('Player Data'!AP48)&gt;='Model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48" s="34" t="str">
        <f aca="false">IF('Player Data'!E48&lt;='Model Settings'!$E$69,ROUND(100*((N('Player Data'!H48)&gt;='Model Settings'!$E$19)*'Model Settings'!$F$19+(N('Player Data'!S48)&gt;='Model Settings'!$E$20)*'Model Settings'!$F$20+(N('Player Data'!AH48)&gt;='Model Settings'!$E$21)*'Model Settings'!$F$21+(N('Player Data'!AX48)&gt;='Model Settings'!$E$22)*'Model Settings'!$F$22+(N('Player Data'!Y48)&gt;='Model Settings'!$E$23)*'Model Settings'!$F$23+(N('Player Data'!AM48)&gt;='Model Settings'!$E$24)*'Model Settings'!$F$24)/('Model Settings'!$F$19+'Model Settings'!$F$20+'Model Settings'!$F$21+'Model Settings'!$F$22+'Model Settings'!$F$23+'Model Settings'!$F$24),0),"n/a")</f>
        <v>n/a</v>
      </c>
      <c r="D48" s="50" t="n">
        <f aca="false">ROUND(100*((N('Player Data'!U48)&gt;='Model Settings'!$E$25)*'Model Settings'!$F$25+(N('Player Data'!V48)&gt;='Model Settings'!$E$26)*'Model Settings'!$F$26+(N('Player Data'!W48)&gt;='Model Settings'!$E$27)*'Model Settings'!$F$27+(N('Player Data'!AT48)&gt;='Model Settings'!$E$28)*'Model Settings'!$F$28+(N('Player Data'!AE48)&gt;='Model Settings'!$E$29)*'Model Settings'!$F$29+(N('Player Data'!AO48)&gt;='Model Settings'!$E$30)*'Model Settings'!$F$30+(N('Player Data'!AG48)&gt;='Model Settings'!$E$31)*'Model Settings'!$F$31)/('Model Settings'!$F$25+'Model Settings'!$F$26+'Model Settings'!$F$27+'Model Settings'!$F$28+'Model Settings'!$F$29+'Model Settings'!$F$30+'Model Settings'!$F$31),0)</f>
        <v>0</v>
      </c>
      <c r="E48" s="50" t="n">
        <f aca="false">ROUND(100*((N('Player Data'!Z48)&gt;='Model Settings'!$E$32)*'Model Settings'!$F$32+(N('Player Data'!BN48)&gt;='Model Settings'!$E$33)*'Model Settings'!$F$33+(N('Player Data'!BO48)&gt;='Model Settings'!$E$34)*'Model Settings'!$F$34+(N('Player Data'!BP48)&gt;='Model Settings'!$E$35)*'Model Settings'!$F$35+('Player Data'!BR48='Model Settings'!$E$36)*'Model Settings'!$F$36+(N('Player Data'!AW48)&gt;='Model Settings'!$E$37)*'Model Settings'!$F$37+(N('Player Data'!AF48)&lt;='Model Settings'!$E$38)*'Model Settings'!$F$38)/('Model Settings'!$F$32+'Model Settings'!$F$33+'Model Settings'!$F$34+'Model Settings'!$F$35+'Model Settings'!$F$36+'Model Settings'!$F$37+'Model Settings'!$F$38),0)</f>
        <v>0</v>
      </c>
      <c r="F48" s="50" t="n">
        <f aca="false">ROUND(100*((N('Player Data'!K48)&gt;='Model Settings'!$E$39)*'Model Settings'!$F$39+(N('Player Data'!P48)&gt;='Model Settings'!$E$40)*'Model Settings'!$F$40+(N('Player Data'!M48)&gt;='Model Settings'!$E$41)*'Model Settings'!$F$41+(N('Player Data'!AU48)&gt;='Model Settings'!$E$42)*'Model Settings'!$F$42+(N('Player Data'!CL48)&gt;='Model Settings'!$E$43)*'Model Settings'!$F$43+(N('Player Data'!Q48)&gt;='Model Settings'!$E$44)*'Model Settings'!$F$44)/('Model Settings'!$F$39+'Model Settings'!$F$40+'Model Settings'!$F$41+'Model Settings'!$F$42+'Model Settings'!$F$43+'Model Settings'!$F$44),0)</f>
        <v>0</v>
      </c>
      <c r="G48" s="50" t="n">
        <f aca="false">ROUND(100*((N('Player Data'!BE48)&gt;='Model Settings'!$E$45)*'Model Settings'!$F$45+(N('Player Data'!BH48)&gt;='Model Settings'!$E$46)*'Model Settings'!$F$46+(N('Player Data'!U48)&gt;='Model Settings'!$E$47)*'Model Settings'!$F$47+(N('Player Data'!BN48)&gt;='Model Settings'!$E$48)*'Model Settings'!$F$48+(N('Player Data'!AX48)&gt;='Model Settings'!$E$49)*'Model Settings'!$F$49+(N('Player Data'!BL48)&gt;='Model Settings'!$E$50)*'Model Settings'!$F$50+(N('Player Data'!BI48)&gt;='Model Settings'!$E$51)*'Model Settings'!$F$51)/('Model Settings'!$F$45+'Model Settings'!$F$46+'Model Settings'!$F$47+'Model Settings'!$F$48+'Model Settings'!$F$49+'Model Settings'!$F$50+'Model Settings'!$F$51),0)</f>
        <v>14</v>
      </c>
      <c r="H48" s="34" t="str">
        <f aca="false">IF(AND(B48&lt;'Model Settings'!$E$66,E48&lt;'Model Settings'!$E$68),"Non-problem",IF(E48&gt;='Model Settings'!$E$68,"Financially vulnerable",IF(OR(N('Player Data'!BY48)&gt;=1,N('Player Data'!BX48)&gt;=2,N('Player Data'!BW48)&gt;=3),"Emotionally vulnerable","At-risk")))</f>
        <v>Non-problem</v>
      </c>
      <c r="I48" s="34" t="str">
        <f aca="false">IF(OR(N('Player Data'!BY48)&gt;=1,'Player Data'!BZ48="Yes"),"Alert","None")</f>
        <v>None</v>
      </c>
      <c r="J48" s="34" t="str">
        <f aca="false">IF(OR(B48&gt;='Model Settings'!$E$67,'Player Data'!BM48="Yes",I48="Alert"),"Suppress",IF(AND(B48&gt;='Model Settings'!$E$66,'Player Data'!G48="Yes"),"Review VIP","Allow"))</f>
        <v>Allow</v>
      </c>
      <c r="K48" s="50" t="n">
        <f aca="false">ROUND(100*((N('Player Data'!CH48)&gt;='Model Settings'!$E$52)*'Model Settings'!$F$52+(N('Player Data'!CI48)&gt;='Model Settings'!$E$53)*'Model Settings'!$F$53+(N('Player Data'!R48)&gt;='Model Settings'!$E$54)*'Model Settings'!$F$54+(N('Player Data'!Y48)&gt;='Model Settings'!$E$55)*'Model Settings'!$F$55+(N('Player Data'!AS48)&gt;='Model Settings'!$E$56)*'Model Settings'!$F$56)/('Model Settings'!$F$52+'Model Settings'!$F$53+'Model Settings'!$F$54+'Model Settings'!$F$55+'Model Settings'!$F$56),0)</f>
        <v>20</v>
      </c>
      <c r="L48" s="34" t="str">
        <f aca="false">IF('Player Data'!D48="Spain",ROUND(100*((N('Player Data'!H48)&gt;='Model Settings'!$E$57)*'Model Settings'!$F$57+(N('Player Data'!AI48)&gt;='Model Settings'!$E$58)*'Model Settings'!$F$58+(N('Player Data'!AL48)&gt;='Model Settings'!$E$59)*'Model Settings'!$F$59+(N('Player Data'!M48)&gt;='Model Settings'!$E$60)*'Model Settings'!$F$60+(N('Player Data'!X48)&lt;='Model Settings'!$E$61)*'Model Settings'!$F$61+(N('Player Data'!Y48)&gt;='Model Settings'!$E$62)*'Model Settings'!$F$62+(N('Player Data'!P48)&gt;='Model Settings'!$E$63)*'Model Settings'!$F$63)/('Model Settings'!$F$57+'Model Settings'!$F$58+'Model Settings'!$F$59+'Model Settings'!$F$60+'Model Settings'!$F$61+'Model Settings'!$F$62+'Model Settings'!$F$63),0),"n/a")</f>
        <v>n/a</v>
      </c>
      <c r="M48" s="34" t="str">
        <f aca="false">IF('Player Data'!CA48="None","No contact yet",IF('Player Data'!CA48="Improved","Working",IF('Player Data'!CA48="No change","Review approach","Escalate")))</f>
        <v>No contact yet</v>
      </c>
      <c r="N48" s="49" t="str">
        <f aca="false">IF(OR('Player Data'!BM48="Yes",I48="Alert"),"High",IF(B48&gt;='Model Settings'!$E$67,"High",IF(OR(B48&gt;='Model Settings'!$E$66,D48&gt;='Model Settings'!$E$68,F48&gt;='Model Settings'!$E$68,K48&gt;='Model Settings'!$E$68),"Medium","Low")))</f>
        <v>Low</v>
      </c>
      <c r="O48" s="34" t="str">
        <f aca="false">IF(N48="High","Contact player + review within 48h; stop marketing",IF(N48="Medium","Safer gambling message; monitor weekly","No action; routine monitoring"))</f>
        <v>No action; routine monitoring</v>
      </c>
      <c r="P48" s="34" t="n">
        <f aca="false">IF(OR(N48="High",AND('Model Settings'!$E$70="High+Medium",N48="Medium")),1,0)</f>
        <v>0</v>
      </c>
      <c r="Q48" s="34" t="n">
        <f aca="false">'Player Data'!CM48</f>
        <v>0</v>
      </c>
    </row>
    <row r="49" customFormat="false" ht="15" hidden="false" customHeight="false" outlineLevel="0" collapsed="false">
      <c r="A49" s="49" t="str">
        <f aca="false">'Player Data'!A49</f>
        <v>P044</v>
      </c>
      <c r="B49" s="50" t="n">
        <f aca="false">ROUND(100*((N('Player Data'!U49)&gt;='Model Settings'!$E$5)*'Model Settings'!$F$5+(N('Player Data'!AT49)&gt;='Model Settings'!$E$6)*'Model Settings'!$F$6+(N('Player Data'!BI49)&gt;='Model Settings'!$E$7)*'Model Settings'!$F$7+(N('Player Data'!AL49)&gt;='Model Settings'!$E$8)*'Model Settings'!$F$8+(N('Player Data'!AH49)&gt;='Model Settings'!$E$9)*'Model Settings'!$F$9+(N('Player Data'!B49)&lt;='Model Settings'!$E$10)*'Model Settings'!$F$10+(N('Player Data'!M49)&gt;='Model Settings'!$E$11)*'Model Settings'!$F$11+(N('Player Data'!J49)&lt;='Model Settings'!$E$12)*'Model Settings'!$F$12+(N('Player Data'!V49)&gt;='Model Settings'!$E$13)*'Model Settings'!$F$13+(N('Player Data'!W49)&gt;='Model Settings'!$E$14)*'Model Settings'!$F$14+(N('Player Data'!AE49)&gt;='Model Settings'!$E$15)*'Model Settings'!$F$15+(N('Player Data'!BF49)&gt;='Model Settings'!$E$16)*'Model Settings'!$F$16+(N('Player Data'!AX49)&gt;='Model Settings'!$E$17)*'Model Settings'!$F$17+(N('Player Data'!AP49)&gt;='Model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49" s="34" t="n">
        <f aca="false">IF('Player Data'!E49&lt;='Model Settings'!$E$69,ROUND(100*((N('Player Data'!H49)&gt;='Model Settings'!$E$19)*'Model Settings'!$F$19+(N('Player Data'!S49)&gt;='Model Settings'!$E$20)*'Model Settings'!$F$20+(N('Player Data'!AH49)&gt;='Model Settings'!$E$21)*'Model Settings'!$F$21+(N('Player Data'!AX49)&gt;='Model Settings'!$E$22)*'Model Settings'!$F$22+(N('Player Data'!Y49)&gt;='Model Settings'!$E$23)*'Model Settings'!$F$23+(N('Player Data'!AM49)&gt;='Model Settings'!$E$24)*'Model Settings'!$F$24)/('Model Settings'!$F$19+'Model Settings'!$F$20+'Model Settings'!$F$21+'Model Settings'!$F$22+'Model Settings'!$F$23+'Model Settings'!$F$24),0),"n/a")</f>
        <v>17</v>
      </c>
      <c r="D49" s="50" t="n">
        <f aca="false">ROUND(100*((N('Player Data'!U49)&gt;='Model Settings'!$E$25)*'Model Settings'!$F$25+(N('Player Data'!V49)&gt;='Model Settings'!$E$26)*'Model Settings'!$F$26+(N('Player Data'!W49)&gt;='Model Settings'!$E$27)*'Model Settings'!$F$27+(N('Player Data'!AT49)&gt;='Model Settings'!$E$28)*'Model Settings'!$F$28+(N('Player Data'!AE49)&gt;='Model Settings'!$E$29)*'Model Settings'!$F$29+(N('Player Data'!AO49)&gt;='Model Settings'!$E$30)*'Model Settings'!$F$30+(N('Player Data'!AG49)&gt;='Model Settings'!$E$31)*'Model Settings'!$F$31)/('Model Settings'!$F$25+'Model Settings'!$F$26+'Model Settings'!$F$27+'Model Settings'!$F$28+'Model Settings'!$F$29+'Model Settings'!$F$30+'Model Settings'!$F$31),0)</f>
        <v>0</v>
      </c>
      <c r="E49" s="50" t="n">
        <f aca="false">ROUND(100*((N('Player Data'!Z49)&gt;='Model Settings'!$E$32)*'Model Settings'!$F$32+(N('Player Data'!BN49)&gt;='Model Settings'!$E$33)*'Model Settings'!$F$33+(N('Player Data'!BO49)&gt;='Model Settings'!$E$34)*'Model Settings'!$F$34+(N('Player Data'!BP49)&gt;='Model Settings'!$E$35)*'Model Settings'!$F$35+('Player Data'!BR49='Model Settings'!$E$36)*'Model Settings'!$F$36+(N('Player Data'!AW49)&gt;='Model Settings'!$E$37)*'Model Settings'!$F$37+(N('Player Data'!AF49)&lt;='Model Settings'!$E$38)*'Model Settings'!$F$38)/('Model Settings'!$F$32+'Model Settings'!$F$33+'Model Settings'!$F$34+'Model Settings'!$F$35+'Model Settings'!$F$36+'Model Settings'!$F$37+'Model Settings'!$F$38),0)</f>
        <v>14</v>
      </c>
      <c r="F49" s="50" t="n">
        <f aca="false">ROUND(100*((N('Player Data'!K49)&gt;='Model Settings'!$E$39)*'Model Settings'!$F$39+(N('Player Data'!P49)&gt;='Model Settings'!$E$40)*'Model Settings'!$F$40+(N('Player Data'!M49)&gt;='Model Settings'!$E$41)*'Model Settings'!$F$41+(N('Player Data'!AU49)&gt;='Model Settings'!$E$42)*'Model Settings'!$F$42+(N('Player Data'!CL49)&gt;='Model Settings'!$E$43)*'Model Settings'!$F$43+(N('Player Data'!Q49)&gt;='Model Settings'!$E$44)*'Model Settings'!$F$44)/('Model Settings'!$F$39+'Model Settings'!$F$40+'Model Settings'!$F$41+'Model Settings'!$F$42+'Model Settings'!$F$43+'Model Settings'!$F$44),0)</f>
        <v>17</v>
      </c>
      <c r="G49" s="50" t="n">
        <f aca="false">ROUND(100*((N('Player Data'!BE49)&gt;='Model Settings'!$E$45)*'Model Settings'!$F$45+(N('Player Data'!BH49)&gt;='Model Settings'!$E$46)*'Model Settings'!$F$46+(N('Player Data'!U49)&gt;='Model Settings'!$E$47)*'Model Settings'!$F$47+(N('Player Data'!BN49)&gt;='Model Settings'!$E$48)*'Model Settings'!$F$48+(N('Player Data'!AX49)&gt;='Model Settings'!$E$49)*'Model Settings'!$F$49+(N('Player Data'!BL49)&gt;='Model Settings'!$E$50)*'Model Settings'!$F$50+(N('Player Data'!BI49)&gt;='Model Settings'!$E$51)*'Model Settings'!$F$51)/('Model Settings'!$F$45+'Model Settings'!$F$46+'Model Settings'!$F$47+'Model Settings'!$F$48+'Model Settings'!$F$49+'Model Settings'!$F$50+'Model Settings'!$F$51),0)</f>
        <v>14</v>
      </c>
      <c r="H49" s="34" t="str">
        <f aca="false">IF(AND(B49&lt;'Model Settings'!$E$66,E49&lt;'Model Settings'!$E$68),"Non-problem",IF(E49&gt;='Model Settings'!$E$68,"Financially vulnerable",IF(OR(N('Player Data'!BY49)&gt;=1,N('Player Data'!BX49)&gt;=2,N('Player Data'!BW49)&gt;=3),"Emotionally vulnerable","At-risk")))</f>
        <v>Non-problem</v>
      </c>
      <c r="I49" s="34" t="str">
        <f aca="false">IF(OR(N('Player Data'!BY49)&gt;=1,'Player Data'!BZ49="Yes"),"Alert","None")</f>
        <v>None</v>
      </c>
      <c r="J49" s="34" t="str">
        <f aca="false">IF(OR(B49&gt;='Model Settings'!$E$67,'Player Data'!BM49="Yes",I49="Alert"),"Suppress",IF(AND(B49&gt;='Model Settings'!$E$66,'Player Data'!G49="Yes"),"Review VIP","Allow"))</f>
        <v>Allow</v>
      </c>
      <c r="K49" s="50" t="n">
        <f aca="false">ROUND(100*((N('Player Data'!CH49)&gt;='Model Settings'!$E$52)*'Model Settings'!$F$52+(N('Player Data'!CI49)&gt;='Model Settings'!$E$53)*'Model Settings'!$F$53+(N('Player Data'!R49)&gt;='Model Settings'!$E$54)*'Model Settings'!$F$54+(N('Player Data'!Y49)&gt;='Model Settings'!$E$55)*'Model Settings'!$F$55+(N('Player Data'!AS49)&gt;='Model Settings'!$E$56)*'Model Settings'!$F$56)/('Model Settings'!$F$52+'Model Settings'!$F$53+'Model Settings'!$F$54+'Model Settings'!$F$55+'Model Settings'!$F$56),0)</f>
        <v>20</v>
      </c>
      <c r="L49" s="34" t="str">
        <f aca="false">IF('Player Data'!D49="Spain",ROUND(100*((N('Player Data'!H49)&gt;='Model Settings'!$E$57)*'Model Settings'!$F$57+(N('Player Data'!AI49)&gt;='Model Settings'!$E$58)*'Model Settings'!$F$58+(N('Player Data'!AL49)&gt;='Model Settings'!$E$59)*'Model Settings'!$F$59+(N('Player Data'!M49)&gt;='Model Settings'!$E$60)*'Model Settings'!$F$60+(N('Player Data'!X49)&lt;='Model Settings'!$E$61)*'Model Settings'!$F$61+(N('Player Data'!Y49)&gt;='Model Settings'!$E$62)*'Model Settings'!$F$62+(N('Player Data'!P49)&gt;='Model Settings'!$E$63)*'Model Settings'!$F$63)/('Model Settings'!$F$57+'Model Settings'!$F$58+'Model Settings'!$F$59+'Model Settings'!$F$60+'Model Settings'!$F$61+'Model Settings'!$F$62+'Model Settings'!$F$63),0),"n/a")</f>
        <v>n/a</v>
      </c>
      <c r="M49" s="34" t="str">
        <f aca="false">IF('Player Data'!CA49="None","No contact yet",IF('Player Data'!CA49="Improved","Working",IF('Player Data'!CA49="No change","Review approach","Escalate")))</f>
        <v>No contact yet</v>
      </c>
      <c r="N49" s="49" t="str">
        <f aca="false">IF(OR('Player Data'!BM49="Yes",I49="Alert"),"High",IF(B49&gt;='Model Settings'!$E$67,"High",IF(OR(B49&gt;='Model Settings'!$E$66,D49&gt;='Model Settings'!$E$68,F49&gt;='Model Settings'!$E$68,K49&gt;='Model Settings'!$E$68),"Medium","Low")))</f>
        <v>Low</v>
      </c>
      <c r="O49" s="34" t="str">
        <f aca="false">IF(N49="High","Contact player + review within 48h; stop marketing",IF(N49="Medium","Safer gambling message; monitor weekly","No action; routine monitoring"))</f>
        <v>No action; routine monitoring</v>
      </c>
      <c r="P49" s="34" t="n">
        <f aca="false">IF(OR(N49="High",AND('Model Settings'!$E$70="High+Medium",N49="Medium")),1,0)</f>
        <v>0</v>
      </c>
      <c r="Q49" s="34" t="n">
        <f aca="false">'Player Data'!CM49</f>
        <v>0</v>
      </c>
    </row>
    <row r="50" customFormat="false" ht="15" hidden="false" customHeight="false" outlineLevel="0" collapsed="false">
      <c r="A50" s="49" t="str">
        <f aca="false">'Player Data'!A50</f>
        <v>P045</v>
      </c>
      <c r="B50" s="50" t="n">
        <f aca="false">ROUND(100*((N('Player Data'!U50)&gt;='Model Settings'!$E$5)*'Model Settings'!$F$5+(N('Player Data'!AT50)&gt;='Model Settings'!$E$6)*'Model Settings'!$F$6+(N('Player Data'!BI50)&gt;='Model Settings'!$E$7)*'Model Settings'!$F$7+(N('Player Data'!AL50)&gt;='Model Settings'!$E$8)*'Model Settings'!$F$8+(N('Player Data'!AH50)&gt;='Model Settings'!$E$9)*'Model Settings'!$F$9+(N('Player Data'!B50)&lt;='Model Settings'!$E$10)*'Model Settings'!$F$10+(N('Player Data'!M50)&gt;='Model Settings'!$E$11)*'Model Settings'!$F$11+(N('Player Data'!J50)&lt;='Model Settings'!$E$12)*'Model Settings'!$F$12+(N('Player Data'!V50)&gt;='Model Settings'!$E$13)*'Model Settings'!$F$13+(N('Player Data'!W50)&gt;='Model Settings'!$E$14)*'Model Settings'!$F$14+(N('Player Data'!AE50)&gt;='Model Settings'!$E$15)*'Model Settings'!$F$15+(N('Player Data'!BF50)&gt;='Model Settings'!$E$16)*'Model Settings'!$F$16+(N('Player Data'!AX50)&gt;='Model Settings'!$E$17)*'Model Settings'!$F$17+(N('Player Data'!AP50)&gt;='Model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67</v>
      </c>
      <c r="C50" s="34" t="str">
        <f aca="false">IF('Player Data'!E50&lt;='Model Settings'!$E$69,ROUND(100*((N('Player Data'!H50)&gt;='Model Settings'!$E$19)*'Model Settings'!$F$19+(N('Player Data'!S50)&gt;='Model Settings'!$E$20)*'Model Settings'!$F$20+(N('Player Data'!AH50)&gt;='Model Settings'!$E$21)*'Model Settings'!$F$21+(N('Player Data'!AX50)&gt;='Model Settings'!$E$22)*'Model Settings'!$F$22+(N('Player Data'!Y50)&gt;='Model Settings'!$E$23)*'Model Settings'!$F$23+(N('Player Data'!AM50)&gt;='Model Settings'!$E$24)*'Model Settings'!$F$24)/('Model Settings'!$F$19+'Model Settings'!$F$20+'Model Settings'!$F$21+'Model Settings'!$F$22+'Model Settings'!$F$23+'Model Settings'!$F$24),0),"n/a")</f>
        <v>n/a</v>
      </c>
      <c r="D50" s="50" t="n">
        <f aca="false">ROUND(100*((N('Player Data'!U50)&gt;='Model Settings'!$E$25)*'Model Settings'!$F$25+(N('Player Data'!V50)&gt;='Model Settings'!$E$26)*'Model Settings'!$F$26+(N('Player Data'!W50)&gt;='Model Settings'!$E$27)*'Model Settings'!$F$27+(N('Player Data'!AT50)&gt;='Model Settings'!$E$28)*'Model Settings'!$F$28+(N('Player Data'!AE50)&gt;='Model Settings'!$E$29)*'Model Settings'!$F$29+(N('Player Data'!AO50)&gt;='Model Settings'!$E$30)*'Model Settings'!$F$30+(N('Player Data'!AG50)&gt;='Model Settings'!$E$31)*'Model Settings'!$F$31)/('Model Settings'!$F$25+'Model Settings'!$F$26+'Model Settings'!$F$27+'Model Settings'!$F$28+'Model Settings'!$F$29+'Model Settings'!$F$30+'Model Settings'!$F$31),0)</f>
        <v>71</v>
      </c>
      <c r="E50" s="50" t="n">
        <f aca="false">ROUND(100*((N('Player Data'!Z50)&gt;='Model Settings'!$E$32)*'Model Settings'!$F$32+(N('Player Data'!BN50)&gt;='Model Settings'!$E$33)*'Model Settings'!$F$33+(N('Player Data'!BO50)&gt;='Model Settings'!$E$34)*'Model Settings'!$F$34+(N('Player Data'!BP50)&gt;='Model Settings'!$E$35)*'Model Settings'!$F$35+('Player Data'!BR50='Model Settings'!$E$36)*'Model Settings'!$F$36+(N('Player Data'!AW50)&gt;='Model Settings'!$E$37)*'Model Settings'!$F$37+(N('Player Data'!AF50)&lt;='Model Settings'!$E$38)*'Model Settings'!$F$38)/('Model Settings'!$F$32+'Model Settings'!$F$33+'Model Settings'!$F$34+'Model Settings'!$F$35+'Model Settings'!$F$36+'Model Settings'!$F$37+'Model Settings'!$F$38),0)</f>
        <v>57</v>
      </c>
      <c r="F50" s="50" t="n">
        <f aca="false">ROUND(100*((N('Player Data'!K50)&gt;='Model Settings'!$E$39)*'Model Settings'!$F$39+(N('Player Data'!P50)&gt;='Model Settings'!$E$40)*'Model Settings'!$F$40+(N('Player Data'!M50)&gt;='Model Settings'!$E$41)*'Model Settings'!$F$41+(N('Player Data'!AU50)&gt;='Model Settings'!$E$42)*'Model Settings'!$F$42+(N('Player Data'!CL50)&gt;='Model Settings'!$E$43)*'Model Settings'!$F$43+(N('Player Data'!Q50)&gt;='Model Settings'!$E$44)*'Model Settings'!$F$44)/('Model Settings'!$F$39+'Model Settings'!$F$40+'Model Settings'!$F$41+'Model Settings'!$F$42+'Model Settings'!$F$43+'Model Settings'!$F$44),0)</f>
        <v>67</v>
      </c>
      <c r="G50" s="50" t="n">
        <f aca="false">ROUND(100*((N('Player Data'!BE50)&gt;='Model Settings'!$E$45)*'Model Settings'!$F$45+(N('Player Data'!BH50)&gt;='Model Settings'!$E$46)*'Model Settings'!$F$46+(N('Player Data'!U50)&gt;='Model Settings'!$E$47)*'Model Settings'!$F$47+(N('Player Data'!BN50)&gt;='Model Settings'!$E$48)*'Model Settings'!$F$48+(N('Player Data'!AX50)&gt;='Model Settings'!$E$49)*'Model Settings'!$F$49+(N('Player Data'!BL50)&gt;='Model Settings'!$E$50)*'Model Settings'!$F$50+(N('Player Data'!BI50)&gt;='Model Settings'!$E$51)*'Model Settings'!$F$51)/('Model Settings'!$F$45+'Model Settings'!$F$46+'Model Settings'!$F$47+'Model Settings'!$F$48+'Model Settings'!$F$49+'Model Settings'!$F$50+'Model Settings'!$F$51),0)</f>
        <v>86</v>
      </c>
      <c r="H50" s="34" t="str">
        <f aca="false">IF(AND(B50&lt;'Model Settings'!$E$66,E50&lt;'Model Settings'!$E$68),"Non-problem",IF(E50&gt;='Model Settings'!$E$68,"Financially vulnerable",IF(OR(N('Player Data'!BY50)&gt;=1,N('Player Data'!BX50)&gt;=2,N('Player Data'!BW50)&gt;=3),"Emotionally vulnerable","At-risk")))</f>
        <v>Financially vulnerable</v>
      </c>
      <c r="I50" s="34" t="str">
        <f aca="false">IF(OR(N('Player Data'!BY50)&gt;=1,'Player Data'!BZ50="Yes"),"Alert","None")</f>
        <v>Alert</v>
      </c>
      <c r="J50" s="34" t="str">
        <f aca="false">IF(OR(B50&gt;='Model Settings'!$E$67,'Player Data'!BM50="Yes",I50="Alert"),"Suppress",IF(AND(B50&gt;='Model Settings'!$E$66,'Player Data'!G50="Yes"),"Review VIP","Allow"))</f>
        <v>Suppress</v>
      </c>
      <c r="K50" s="50" t="n">
        <f aca="false">ROUND(100*((N('Player Data'!CH50)&gt;='Model Settings'!$E$52)*'Model Settings'!$F$52+(N('Player Data'!CI50)&gt;='Model Settings'!$E$53)*'Model Settings'!$F$53+(N('Player Data'!R50)&gt;='Model Settings'!$E$54)*'Model Settings'!$F$54+(N('Player Data'!Y50)&gt;='Model Settings'!$E$55)*'Model Settings'!$F$55+(N('Player Data'!AS50)&gt;='Model Settings'!$E$56)*'Model Settings'!$F$56)/('Model Settings'!$F$52+'Model Settings'!$F$53+'Model Settings'!$F$54+'Model Settings'!$F$55+'Model Settings'!$F$56),0)</f>
        <v>80</v>
      </c>
      <c r="L50" s="34" t="str">
        <f aca="false">IF('Player Data'!D50="Spain",ROUND(100*((N('Player Data'!H50)&gt;='Model Settings'!$E$57)*'Model Settings'!$F$57+(N('Player Data'!AI50)&gt;='Model Settings'!$E$58)*'Model Settings'!$F$58+(N('Player Data'!AL50)&gt;='Model Settings'!$E$59)*'Model Settings'!$F$59+(N('Player Data'!M50)&gt;='Model Settings'!$E$60)*'Model Settings'!$F$60+(N('Player Data'!X50)&lt;='Model Settings'!$E$61)*'Model Settings'!$F$61+(N('Player Data'!Y50)&gt;='Model Settings'!$E$62)*'Model Settings'!$F$62+(N('Player Data'!P50)&gt;='Model Settings'!$E$63)*'Model Settings'!$F$63)/('Model Settings'!$F$57+'Model Settings'!$F$58+'Model Settings'!$F$59+'Model Settings'!$F$60+'Model Settings'!$F$61+'Model Settings'!$F$62+'Model Settings'!$F$63),0),"n/a")</f>
        <v>n/a</v>
      </c>
      <c r="M50" s="34" t="str">
        <f aca="false">IF('Player Data'!CA50="None","No contact yet",IF('Player Data'!CA50="Improved","Working",IF('Player Data'!CA50="No change","Review approach","Escalate")))</f>
        <v>Working</v>
      </c>
      <c r="N50" s="49" t="str">
        <f aca="false">IF(OR('Player Data'!BM50="Yes",I50="Alert"),"High",IF(B50&gt;='Model Settings'!$E$67,"High",IF(OR(B50&gt;='Model Settings'!$E$66,D50&gt;='Model Settings'!$E$68,F50&gt;='Model Settings'!$E$68,K50&gt;='Model Settings'!$E$68),"Medium","Low")))</f>
        <v>High</v>
      </c>
      <c r="O50" s="34" t="str">
        <f aca="false">IF(N50="High","Contact player + review within 48h; stop marketing",IF(N50="Medium","Safer gambling message; monitor weekly","No action; routine monitoring"))</f>
        <v>Contact player + review within 48h; stop marketing</v>
      </c>
      <c r="P50" s="34" t="n">
        <f aca="false">IF(OR(N50="High",AND('Model Settings'!$E$70="High+Medium",N50="Medium")),1,0)</f>
        <v>1</v>
      </c>
      <c r="Q50" s="34" t="n">
        <f aca="false">'Player Data'!CM50</f>
        <v>1</v>
      </c>
    </row>
    <row r="51" customFormat="false" ht="15" hidden="false" customHeight="false" outlineLevel="0" collapsed="false">
      <c r="A51" s="49" t="str">
        <f aca="false">'Player Data'!A51</f>
        <v>P046</v>
      </c>
      <c r="B51" s="50" t="n">
        <f aca="false">ROUND(100*((N('Player Data'!U51)&gt;='Model Settings'!$E$5)*'Model Settings'!$F$5+(N('Player Data'!AT51)&gt;='Model Settings'!$E$6)*'Model Settings'!$F$6+(N('Player Data'!BI51)&gt;='Model Settings'!$E$7)*'Model Settings'!$F$7+(N('Player Data'!AL51)&gt;='Model Settings'!$E$8)*'Model Settings'!$F$8+(N('Player Data'!AH51)&gt;='Model Settings'!$E$9)*'Model Settings'!$F$9+(N('Player Data'!B51)&lt;='Model Settings'!$E$10)*'Model Settings'!$F$10+(N('Player Data'!M51)&gt;='Model Settings'!$E$11)*'Model Settings'!$F$11+(N('Player Data'!J51)&lt;='Model Settings'!$E$12)*'Model Settings'!$F$12+(N('Player Data'!V51)&gt;='Model Settings'!$E$13)*'Model Settings'!$F$13+(N('Player Data'!W51)&gt;='Model Settings'!$E$14)*'Model Settings'!$F$14+(N('Player Data'!AE51)&gt;='Model Settings'!$E$15)*'Model Settings'!$F$15+(N('Player Data'!BF51)&gt;='Model Settings'!$E$16)*'Model Settings'!$F$16+(N('Player Data'!AX51)&gt;='Model Settings'!$E$17)*'Model Settings'!$F$17+(N('Player Data'!AP51)&gt;='Model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51" s="34" t="str">
        <f aca="false">IF('Player Data'!E51&lt;='Model Settings'!$E$69,ROUND(100*((N('Player Data'!H51)&gt;='Model Settings'!$E$19)*'Model Settings'!$F$19+(N('Player Data'!S51)&gt;='Model Settings'!$E$20)*'Model Settings'!$F$20+(N('Player Data'!AH51)&gt;='Model Settings'!$E$21)*'Model Settings'!$F$21+(N('Player Data'!AX51)&gt;='Model Settings'!$E$22)*'Model Settings'!$F$22+(N('Player Data'!Y51)&gt;='Model Settings'!$E$23)*'Model Settings'!$F$23+(N('Player Data'!AM51)&gt;='Model Settings'!$E$24)*'Model Settings'!$F$24)/('Model Settings'!$F$19+'Model Settings'!$F$20+'Model Settings'!$F$21+'Model Settings'!$F$22+'Model Settings'!$F$23+'Model Settings'!$F$24),0),"n/a")</f>
        <v>n/a</v>
      </c>
      <c r="D51" s="50" t="n">
        <f aca="false">ROUND(100*((N('Player Data'!U51)&gt;='Model Settings'!$E$25)*'Model Settings'!$F$25+(N('Player Data'!V51)&gt;='Model Settings'!$E$26)*'Model Settings'!$F$26+(N('Player Data'!W51)&gt;='Model Settings'!$E$27)*'Model Settings'!$F$27+(N('Player Data'!AT51)&gt;='Model Settings'!$E$28)*'Model Settings'!$F$28+(N('Player Data'!AE51)&gt;='Model Settings'!$E$29)*'Model Settings'!$F$29+(N('Player Data'!AO51)&gt;='Model Settings'!$E$30)*'Model Settings'!$F$30+(N('Player Data'!AG51)&gt;='Model Settings'!$E$31)*'Model Settings'!$F$31)/('Model Settings'!$F$25+'Model Settings'!$F$26+'Model Settings'!$F$27+'Model Settings'!$F$28+'Model Settings'!$F$29+'Model Settings'!$F$30+'Model Settings'!$F$31),0)</f>
        <v>0</v>
      </c>
      <c r="E51" s="50" t="n">
        <f aca="false">ROUND(100*((N('Player Data'!Z51)&gt;='Model Settings'!$E$32)*'Model Settings'!$F$32+(N('Player Data'!BN51)&gt;='Model Settings'!$E$33)*'Model Settings'!$F$33+(N('Player Data'!BO51)&gt;='Model Settings'!$E$34)*'Model Settings'!$F$34+(N('Player Data'!BP51)&gt;='Model Settings'!$E$35)*'Model Settings'!$F$35+('Player Data'!BR51='Model Settings'!$E$36)*'Model Settings'!$F$36+(N('Player Data'!AW51)&gt;='Model Settings'!$E$37)*'Model Settings'!$F$37+(N('Player Data'!AF51)&lt;='Model Settings'!$E$38)*'Model Settings'!$F$38)/('Model Settings'!$F$32+'Model Settings'!$F$33+'Model Settings'!$F$34+'Model Settings'!$F$35+'Model Settings'!$F$36+'Model Settings'!$F$37+'Model Settings'!$F$38),0)</f>
        <v>0</v>
      </c>
      <c r="F51" s="50" t="n">
        <f aca="false">ROUND(100*((N('Player Data'!K51)&gt;='Model Settings'!$E$39)*'Model Settings'!$F$39+(N('Player Data'!P51)&gt;='Model Settings'!$E$40)*'Model Settings'!$F$40+(N('Player Data'!M51)&gt;='Model Settings'!$E$41)*'Model Settings'!$F$41+(N('Player Data'!AU51)&gt;='Model Settings'!$E$42)*'Model Settings'!$F$42+(N('Player Data'!CL51)&gt;='Model Settings'!$E$43)*'Model Settings'!$F$43+(N('Player Data'!Q51)&gt;='Model Settings'!$E$44)*'Model Settings'!$F$44)/('Model Settings'!$F$39+'Model Settings'!$F$40+'Model Settings'!$F$41+'Model Settings'!$F$42+'Model Settings'!$F$43+'Model Settings'!$F$44),0)</f>
        <v>17</v>
      </c>
      <c r="G51" s="50" t="n">
        <f aca="false">ROUND(100*((N('Player Data'!BE51)&gt;='Model Settings'!$E$45)*'Model Settings'!$F$45+(N('Player Data'!BH51)&gt;='Model Settings'!$E$46)*'Model Settings'!$F$46+(N('Player Data'!U51)&gt;='Model Settings'!$E$47)*'Model Settings'!$F$47+(N('Player Data'!BN51)&gt;='Model Settings'!$E$48)*'Model Settings'!$F$48+(N('Player Data'!AX51)&gt;='Model Settings'!$E$49)*'Model Settings'!$F$49+(N('Player Data'!BL51)&gt;='Model Settings'!$E$50)*'Model Settings'!$F$50+(N('Player Data'!BI51)&gt;='Model Settings'!$E$51)*'Model Settings'!$F$51)/('Model Settings'!$F$45+'Model Settings'!$F$46+'Model Settings'!$F$47+'Model Settings'!$F$48+'Model Settings'!$F$49+'Model Settings'!$F$50+'Model Settings'!$F$51),0)</f>
        <v>14</v>
      </c>
      <c r="H51" s="34" t="str">
        <f aca="false">IF(AND(B51&lt;'Model Settings'!$E$66,E51&lt;'Model Settings'!$E$68),"Non-problem",IF(E51&gt;='Model Settings'!$E$68,"Financially vulnerable",IF(OR(N('Player Data'!BY51)&gt;=1,N('Player Data'!BX51)&gt;=2,N('Player Data'!BW51)&gt;=3),"Emotionally vulnerable","At-risk")))</f>
        <v>Non-problem</v>
      </c>
      <c r="I51" s="34" t="str">
        <f aca="false">IF(OR(N('Player Data'!BY51)&gt;=1,'Player Data'!BZ51="Yes"),"Alert","None")</f>
        <v>None</v>
      </c>
      <c r="J51" s="34" t="str">
        <f aca="false">IF(OR(B51&gt;='Model Settings'!$E$67,'Player Data'!BM51="Yes",I51="Alert"),"Suppress",IF(AND(B51&gt;='Model Settings'!$E$66,'Player Data'!G51="Yes"),"Review VIP","Allow"))</f>
        <v>Allow</v>
      </c>
      <c r="K51" s="50" t="n">
        <f aca="false">ROUND(100*((N('Player Data'!CH51)&gt;='Model Settings'!$E$52)*'Model Settings'!$F$52+(N('Player Data'!CI51)&gt;='Model Settings'!$E$53)*'Model Settings'!$F$53+(N('Player Data'!R51)&gt;='Model Settings'!$E$54)*'Model Settings'!$F$54+(N('Player Data'!Y51)&gt;='Model Settings'!$E$55)*'Model Settings'!$F$55+(N('Player Data'!AS51)&gt;='Model Settings'!$E$56)*'Model Settings'!$F$56)/('Model Settings'!$F$52+'Model Settings'!$F$53+'Model Settings'!$F$54+'Model Settings'!$F$55+'Model Settings'!$F$56),0)</f>
        <v>0</v>
      </c>
      <c r="L51" s="34" t="str">
        <f aca="false">IF('Player Data'!D51="Spain",ROUND(100*((N('Player Data'!H51)&gt;='Model Settings'!$E$57)*'Model Settings'!$F$57+(N('Player Data'!AI51)&gt;='Model Settings'!$E$58)*'Model Settings'!$F$58+(N('Player Data'!AL51)&gt;='Model Settings'!$E$59)*'Model Settings'!$F$59+(N('Player Data'!M51)&gt;='Model Settings'!$E$60)*'Model Settings'!$F$60+(N('Player Data'!X51)&lt;='Model Settings'!$E$61)*'Model Settings'!$F$61+(N('Player Data'!Y51)&gt;='Model Settings'!$E$62)*'Model Settings'!$F$62+(N('Player Data'!P51)&gt;='Model Settings'!$E$63)*'Model Settings'!$F$63)/('Model Settings'!$F$57+'Model Settings'!$F$58+'Model Settings'!$F$59+'Model Settings'!$F$60+'Model Settings'!$F$61+'Model Settings'!$F$62+'Model Settings'!$F$63),0),"n/a")</f>
        <v>n/a</v>
      </c>
      <c r="M51" s="34" t="str">
        <f aca="false">IF('Player Data'!CA51="None","No contact yet",IF('Player Data'!CA51="Improved","Working",IF('Player Data'!CA51="No change","Review approach","Escalate")))</f>
        <v>No contact yet</v>
      </c>
      <c r="N51" s="49" t="str">
        <f aca="false">IF(OR('Player Data'!BM51="Yes",I51="Alert"),"High",IF(B51&gt;='Model Settings'!$E$67,"High",IF(OR(B51&gt;='Model Settings'!$E$66,D51&gt;='Model Settings'!$E$68,F51&gt;='Model Settings'!$E$68,K51&gt;='Model Settings'!$E$68),"Medium","Low")))</f>
        <v>Low</v>
      </c>
      <c r="O51" s="34" t="str">
        <f aca="false">IF(N51="High","Contact player + review within 48h; stop marketing",IF(N51="Medium","Safer gambling message; monitor weekly","No action; routine monitoring"))</f>
        <v>No action; routine monitoring</v>
      </c>
      <c r="P51" s="34" t="n">
        <f aca="false">IF(OR(N51="High",AND('Model Settings'!$E$70="High+Medium",N51="Medium")),1,0)</f>
        <v>0</v>
      </c>
      <c r="Q51" s="34" t="n">
        <f aca="false">'Player Data'!CM51</f>
        <v>0</v>
      </c>
    </row>
    <row r="52" customFormat="false" ht="15" hidden="false" customHeight="false" outlineLevel="0" collapsed="false">
      <c r="A52" s="49" t="str">
        <f aca="false">'Player Data'!A52</f>
        <v>P047</v>
      </c>
      <c r="B52" s="50" t="n">
        <f aca="false">ROUND(100*((N('Player Data'!U52)&gt;='Model Settings'!$E$5)*'Model Settings'!$F$5+(N('Player Data'!AT52)&gt;='Model Settings'!$E$6)*'Model Settings'!$F$6+(N('Player Data'!BI52)&gt;='Model Settings'!$E$7)*'Model Settings'!$F$7+(N('Player Data'!AL52)&gt;='Model Settings'!$E$8)*'Model Settings'!$F$8+(N('Player Data'!AH52)&gt;='Model Settings'!$E$9)*'Model Settings'!$F$9+(N('Player Data'!B52)&lt;='Model Settings'!$E$10)*'Model Settings'!$F$10+(N('Player Data'!M52)&gt;='Model Settings'!$E$11)*'Model Settings'!$F$11+(N('Player Data'!J52)&lt;='Model Settings'!$E$12)*'Model Settings'!$F$12+(N('Player Data'!V52)&gt;='Model Settings'!$E$13)*'Model Settings'!$F$13+(N('Player Data'!W52)&gt;='Model Settings'!$E$14)*'Model Settings'!$F$14+(N('Player Data'!AE52)&gt;='Model Settings'!$E$15)*'Model Settings'!$F$15+(N('Player Data'!BF52)&gt;='Model Settings'!$E$16)*'Model Settings'!$F$16+(N('Player Data'!AX52)&gt;='Model Settings'!$E$17)*'Model Settings'!$F$17+(N('Player Data'!AP52)&gt;='Model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41</v>
      </c>
      <c r="C52" s="34" t="str">
        <f aca="false">IF('Player Data'!E52&lt;='Model Settings'!$E$69,ROUND(100*((N('Player Data'!H52)&gt;='Model Settings'!$E$19)*'Model Settings'!$F$19+(N('Player Data'!S52)&gt;='Model Settings'!$E$20)*'Model Settings'!$F$20+(N('Player Data'!AH52)&gt;='Model Settings'!$E$21)*'Model Settings'!$F$21+(N('Player Data'!AX52)&gt;='Model Settings'!$E$22)*'Model Settings'!$F$22+(N('Player Data'!Y52)&gt;='Model Settings'!$E$23)*'Model Settings'!$F$23+(N('Player Data'!AM52)&gt;='Model Settings'!$E$24)*'Model Settings'!$F$24)/('Model Settings'!$F$19+'Model Settings'!$F$20+'Model Settings'!$F$21+'Model Settings'!$F$22+'Model Settings'!$F$23+'Model Settings'!$F$24),0),"n/a")</f>
        <v>n/a</v>
      </c>
      <c r="D52" s="50" t="n">
        <f aca="false">ROUND(100*((N('Player Data'!U52)&gt;='Model Settings'!$E$25)*'Model Settings'!$F$25+(N('Player Data'!V52)&gt;='Model Settings'!$E$26)*'Model Settings'!$F$26+(N('Player Data'!W52)&gt;='Model Settings'!$E$27)*'Model Settings'!$F$27+(N('Player Data'!AT52)&gt;='Model Settings'!$E$28)*'Model Settings'!$F$28+(N('Player Data'!AE52)&gt;='Model Settings'!$E$29)*'Model Settings'!$F$29+(N('Player Data'!AO52)&gt;='Model Settings'!$E$30)*'Model Settings'!$F$30+(N('Player Data'!AG52)&gt;='Model Settings'!$E$31)*'Model Settings'!$F$31)/('Model Settings'!$F$25+'Model Settings'!$F$26+'Model Settings'!$F$27+'Model Settings'!$F$28+'Model Settings'!$F$29+'Model Settings'!$F$30+'Model Settings'!$F$31),0)</f>
        <v>57</v>
      </c>
      <c r="E52" s="50" t="n">
        <f aca="false">ROUND(100*((N('Player Data'!Z52)&gt;='Model Settings'!$E$32)*'Model Settings'!$F$32+(N('Player Data'!BN52)&gt;='Model Settings'!$E$33)*'Model Settings'!$F$33+(N('Player Data'!BO52)&gt;='Model Settings'!$E$34)*'Model Settings'!$F$34+(N('Player Data'!BP52)&gt;='Model Settings'!$E$35)*'Model Settings'!$F$35+('Player Data'!BR52='Model Settings'!$E$36)*'Model Settings'!$F$36+(N('Player Data'!AW52)&gt;='Model Settings'!$E$37)*'Model Settings'!$F$37+(N('Player Data'!AF52)&lt;='Model Settings'!$E$38)*'Model Settings'!$F$38)/('Model Settings'!$F$32+'Model Settings'!$F$33+'Model Settings'!$F$34+'Model Settings'!$F$35+'Model Settings'!$F$36+'Model Settings'!$F$37+'Model Settings'!$F$38),0)</f>
        <v>43</v>
      </c>
      <c r="F52" s="50" t="n">
        <f aca="false">ROUND(100*((N('Player Data'!K52)&gt;='Model Settings'!$E$39)*'Model Settings'!$F$39+(N('Player Data'!P52)&gt;='Model Settings'!$E$40)*'Model Settings'!$F$40+(N('Player Data'!M52)&gt;='Model Settings'!$E$41)*'Model Settings'!$F$41+(N('Player Data'!AU52)&gt;='Model Settings'!$E$42)*'Model Settings'!$F$42+(N('Player Data'!CL52)&gt;='Model Settings'!$E$43)*'Model Settings'!$F$43+(N('Player Data'!Q52)&gt;='Model Settings'!$E$44)*'Model Settings'!$F$44)/('Model Settings'!$F$39+'Model Settings'!$F$40+'Model Settings'!$F$41+'Model Settings'!$F$42+'Model Settings'!$F$43+'Model Settings'!$F$44),0)</f>
        <v>83</v>
      </c>
      <c r="G52" s="50" t="n">
        <f aca="false">ROUND(100*((N('Player Data'!BE52)&gt;='Model Settings'!$E$45)*'Model Settings'!$F$45+(N('Player Data'!BH52)&gt;='Model Settings'!$E$46)*'Model Settings'!$F$46+(N('Player Data'!U52)&gt;='Model Settings'!$E$47)*'Model Settings'!$F$47+(N('Player Data'!BN52)&gt;='Model Settings'!$E$48)*'Model Settings'!$F$48+(N('Player Data'!AX52)&gt;='Model Settings'!$E$49)*'Model Settings'!$F$49+(N('Player Data'!BL52)&gt;='Model Settings'!$E$50)*'Model Settings'!$F$50+(N('Player Data'!BI52)&gt;='Model Settings'!$E$51)*'Model Settings'!$F$51)/('Model Settings'!$F$45+'Model Settings'!$F$46+'Model Settings'!$F$47+'Model Settings'!$F$48+'Model Settings'!$F$49+'Model Settings'!$F$50+'Model Settings'!$F$51),0)</f>
        <v>29</v>
      </c>
      <c r="H52" s="34" t="str">
        <f aca="false">IF(AND(B52&lt;'Model Settings'!$E$66,E52&lt;'Model Settings'!$E$68),"Non-problem",IF(E52&gt;='Model Settings'!$E$68,"Financially vulnerable",IF(OR(N('Player Data'!BY52)&gt;=1,N('Player Data'!BX52)&gt;=2,N('Player Data'!BW52)&gt;=3),"Emotionally vulnerable","At-risk")))</f>
        <v>At-risk</v>
      </c>
      <c r="I52" s="34" t="str">
        <f aca="false">IF(OR(N('Player Data'!BY52)&gt;=1,'Player Data'!BZ52="Yes"),"Alert","None")</f>
        <v>None</v>
      </c>
      <c r="J52" s="34" t="str">
        <f aca="false">IF(OR(B52&gt;='Model Settings'!$E$67,'Player Data'!BM52="Yes",I52="Alert"),"Suppress",IF(AND(B52&gt;='Model Settings'!$E$66,'Player Data'!G52="Yes"),"Review VIP","Allow"))</f>
        <v>Suppress</v>
      </c>
      <c r="K52" s="50" t="n">
        <f aca="false">ROUND(100*((N('Player Data'!CH52)&gt;='Model Settings'!$E$52)*'Model Settings'!$F$52+(N('Player Data'!CI52)&gt;='Model Settings'!$E$53)*'Model Settings'!$F$53+(N('Player Data'!R52)&gt;='Model Settings'!$E$54)*'Model Settings'!$F$54+(N('Player Data'!Y52)&gt;='Model Settings'!$E$55)*'Model Settings'!$F$55+(N('Player Data'!AS52)&gt;='Model Settings'!$E$56)*'Model Settings'!$F$56)/('Model Settings'!$F$52+'Model Settings'!$F$53+'Model Settings'!$F$54+'Model Settings'!$F$55+'Model Settings'!$F$56),0)</f>
        <v>20</v>
      </c>
      <c r="L52" s="34" t="n">
        <f aca="false">IF('Player Data'!D52="Spain",ROUND(100*((N('Player Data'!H52)&gt;='Model Settings'!$E$57)*'Model Settings'!$F$57+(N('Player Data'!AI52)&gt;='Model Settings'!$E$58)*'Model Settings'!$F$58+(N('Player Data'!AL52)&gt;='Model Settings'!$E$59)*'Model Settings'!$F$59+(N('Player Data'!M52)&gt;='Model Settings'!$E$60)*'Model Settings'!$F$60+(N('Player Data'!X52)&lt;='Model Settings'!$E$61)*'Model Settings'!$F$61+(N('Player Data'!Y52)&gt;='Model Settings'!$E$62)*'Model Settings'!$F$62+(N('Player Data'!P52)&gt;='Model Settings'!$E$63)*'Model Settings'!$F$63)/('Model Settings'!$F$57+'Model Settings'!$F$58+'Model Settings'!$F$59+'Model Settings'!$F$60+'Model Settings'!$F$61+'Model Settings'!$F$62+'Model Settings'!$F$63),0),"n/a")</f>
        <v>29</v>
      </c>
      <c r="M52" s="34" t="str">
        <f aca="false">IF('Player Data'!CA52="None","No contact yet",IF('Player Data'!CA52="Improved","Working",IF('Player Data'!CA52="No change","Review approach","Escalate")))</f>
        <v>Review approach</v>
      </c>
      <c r="N52" s="49" t="str">
        <f aca="false">IF(OR('Player Data'!BM52="Yes",I52="Alert"),"High",IF(B52&gt;='Model Settings'!$E$67,"High",IF(OR(B52&gt;='Model Settings'!$E$66,D52&gt;='Model Settings'!$E$68,F52&gt;='Model Settings'!$E$68,K52&gt;='Model Settings'!$E$68),"Medium","Low")))</f>
        <v>High</v>
      </c>
      <c r="O52" s="34" t="str">
        <f aca="false">IF(N52="High","Contact player + review within 48h; stop marketing",IF(N52="Medium","Safer gambling message; monitor weekly","No action; routine monitoring"))</f>
        <v>Contact player + review within 48h; stop marketing</v>
      </c>
      <c r="P52" s="34" t="n">
        <f aca="false">IF(OR(N52="High",AND('Model Settings'!$E$70="High+Medium",N52="Medium")),1,0)</f>
        <v>1</v>
      </c>
      <c r="Q52" s="34" t="n">
        <f aca="false">'Player Data'!CM52</f>
        <v>0</v>
      </c>
    </row>
    <row r="53" customFormat="false" ht="15" hidden="false" customHeight="false" outlineLevel="0" collapsed="false">
      <c r="A53" s="49" t="str">
        <f aca="false">'Player Data'!A53</f>
        <v>P048</v>
      </c>
      <c r="B53" s="50" t="n">
        <f aca="false">ROUND(100*((N('Player Data'!U53)&gt;='Model Settings'!$E$5)*'Model Settings'!$F$5+(N('Player Data'!AT53)&gt;='Model Settings'!$E$6)*'Model Settings'!$F$6+(N('Player Data'!BI53)&gt;='Model Settings'!$E$7)*'Model Settings'!$F$7+(N('Player Data'!AL53)&gt;='Model Settings'!$E$8)*'Model Settings'!$F$8+(N('Player Data'!AH53)&gt;='Model Settings'!$E$9)*'Model Settings'!$F$9+(N('Player Data'!B53)&lt;='Model Settings'!$E$10)*'Model Settings'!$F$10+(N('Player Data'!M53)&gt;='Model Settings'!$E$11)*'Model Settings'!$F$11+(N('Player Data'!J53)&lt;='Model Settings'!$E$12)*'Model Settings'!$F$12+(N('Player Data'!V53)&gt;='Model Settings'!$E$13)*'Model Settings'!$F$13+(N('Player Data'!W53)&gt;='Model Settings'!$E$14)*'Model Settings'!$F$14+(N('Player Data'!AE53)&gt;='Model Settings'!$E$15)*'Model Settings'!$F$15+(N('Player Data'!BF53)&gt;='Model Settings'!$E$16)*'Model Settings'!$F$16+(N('Player Data'!AX53)&gt;='Model Settings'!$E$17)*'Model Settings'!$F$17+(N('Player Data'!AP53)&gt;='Model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22</v>
      </c>
      <c r="C53" s="34" t="str">
        <f aca="false">IF('Player Data'!E53&lt;='Model Settings'!$E$69,ROUND(100*((N('Player Data'!H53)&gt;='Model Settings'!$E$19)*'Model Settings'!$F$19+(N('Player Data'!S53)&gt;='Model Settings'!$E$20)*'Model Settings'!$F$20+(N('Player Data'!AH53)&gt;='Model Settings'!$E$21)*'Model Settings'!$F$21+(N('Player Data'!AX53)&gt;='Model Settings'!$E$22)*'Model Settings'!$F$22+(N('Player Data'!Y53)&gt;='Model Settings'!$E$23)*'Model Settings'!$F$23+(N('Player Data'!AM53)&gt;='Model Settings'!$E$24)*'Model Settings'!$F$24)/('Model Settings'!$F$19+'Model Settings'!$F$20+'Model Settings'!$F$21+'Model Settings'!$F$22+'Model Settings'!$F$23+'Model Settings'!$F$24),0),"n/a")</f>
        <v>n/a</v>
      </c>
      <c r="D53" s="50" t="n">
        <f aca="false">ROUND(100*((N('Player Data'!U53)&gt;='Model Settings'!$E$25)*'Model Settings'!$F$25+(N('Player Data'!V53)&gt;='Model Settings'!$E$26)*'Model Settings'!$F$26+(N('Player Data'!W53)&gt;='Model Settings'!$E$27)*'Model Settings'!$F$27+(N('Player Data'!AT53)&gt;='Model Settings'!$E$28)*'Model Settings'!$F$28+(N('Player Data'!AE53)&gt;='Model Settings'!$E$29)*'Model Settings'!$F$29+(N('Player Data'!AO53)&gt;='Model Settings'!$E$30)*'Model Settings'!$F$30+(N('Player Data'!AG53)&gt;='Model Settings'!$E$31)*'Model Settings'!$F$31)/('Model Settings'!$F$25+'Model Settings'!$F$26+'Model Settings'!$F$27+'Model Settings'!$F$28+'Model Settings'!$F$29+'Model Settings'!$F$30+'Model Settings'!$F$31),0)</f>
        <v>29</v>
      </c>
      <c r="E53" s="50" t="n">
        <f aca="false">ROUND(100*((N('Player Data'!Z53)&gt;='Model Settings'!$E$32)*'Model Settings'!$F$32+(N('Player Data'!BN53)&gt;='Model Settings'!$E$33)*'Model Settings'!$F$33+(N('Player Data'!BO53)&gt;='Model Settings'!$E$34)*'Model Settings'!$F$34+(N('Player Data'!BP53)&gt;='Model Settings'!$E$35)*'Model Settings'!$F$35+('Player Data'!BR53='Model Settings'!$E$36)*'Model Settings'!$F$36+(N('Player Data'!AW53)&gt;='Model Settings'!$E$37)*'Model Settings'!$F$37+(N('Player Data'!AF53)&lt;='Model Settings'!$E$38)*'Model Settings'!$F$38)/('Model Settings'!$F$32+'Model Settings'!$F$33+'Model Settings'!$F$34+'Model Settings'!$F$35+'Model Settings'!$F$36+'Model Settings'!$F$37+'Model Settings'!$F$38),0)</f>
        <v>0</v>
      </c>
      <c r="F53" s="50" t="n">
        <f aca="false">ROUND(100*((N('Player Data'!K53)&gt;='Model Settings'!$E$39)*'Model Settings'!$F$39+(N('Player Data'!P53)&gt;='Model Settings'!$E$40)*'Model Settings'!$F$40+(N('Player Data'!M53)&gt;='Model Settings'!$E$41)*'Model Settings'!$F$41+(N('Player Data'!AU53)&gt;='Model Settings'!$E$42)*'Model Settings'!$F$42+(N('Player Data'!CL53)&gt;='Model Settings'!$E$43)*'Model Settings'!$F$43+(N('Player Data'!Q53)&gt;='Model Settings'!$E$44)*'Model Settings'!$F$44)/('Model Settings'!$F$39+'Model Settings'!$F$40+'Model Settings'!$F$41+'Model Settings'!$F$42+'Model Settings'!$F$43+'Model Settings'!$F$44),0)</f>
        <v>0</v>
      </c>
      <c r="G53" s="50" t="n">
        <f aca="false">ROUND(100*((N('Player Data'!BE53)&gt;='Model Settings'!$E$45)*'Model Settings'!$F$45+(N('Player Data'!BH53)&gt;='Model Settings'!$E$46)*'Model Settings'!$F$46+(N('Player Data'!U53)&gt;='Model Settings'!$E$47)*'Model Settings'!$F$47+(N('Player Data'!BN53)&gt;='Model Settings'!$E$48)*'Model Settings'!$F$48+(N('Player Data'!AX53)&gt;='Model Settings'!$E$49)*'Model Settings'!$F$49+(N('Player Data'!BL53)&gt;='Model Settings'!$E$50)*'Model Settings'!$F$50+(N('Player Data'!BI53)&gt;='Model Settings'!$E$51)*'Model Settings'!$F$51)/('Model Settings'!$F$45+'Model Settings'!$F$46+'Model Settings'!$F$47+'Model Settings'!$F$48+'Model Settings'!$F$49+'Model Settings'!$F$50+'Model Settings'!$F$51),0)</f>
        <v>14</v>
      </c>
      <c r="H53" s="34" t="str">
        <f aca="false">IF(AND(B53&lt;'Model Settings'!$E$66,E53&lt;'Model Settings'!$E$68),"Non-problem",IF(E53&gt;='Model Settings'!$E$68,"Financially vulnerable",IF(OR(N('Player Data'!BY53)&gt;=1,N('Player Data'!BX53)&gt;=2,N('Player Data'!BW53)&gt;=3),"Emotionally vulnerable","At-risk")))</f>
        <v>Emotionally vulnerable</v>
      </c>
      <c r="I53" s="34" t="str">
        <f aca="false">IF(OR(N('Player Data'!BY53)&gt;=1,'Player Data'!BZ53="Yes"),"Alert","None")</f>
        <v>None</v>
      </c>
      <c r="J53" s="34" t="str">
        <f aca="false">IF(OR(B53&gt;='Model Settings'!$E$67,'Player Data'!BM53="Yes",I53="Alert"),"Suppress",IF(AND(B53&gt;='Model Settings'!$E$66,'Player Data'!G53="Yes"),"Review VIP","Allow"))</f>
        <v>Allow</v>
      </c>
      <c r="K53" s="50" t="n">
        <f aca="false">ROUND(100*((N('Player Data'!CH53)&gt;='Model Settings'!$E$52)*'Model Settings'!$F$52+(N('Player Data'!CI53)&gt;='Model Settings'!$E$53)*'Model Settings'!$F$53+(N('Player Data'!R53)&gt;='Model Settings'!$E$54)*'Model Settings'!$F$54+(N('Player Data'!Y53)&gt;='Model Settings'!$E$55)*'Model Settings'!$F$55+(N('Player Data'!AS53)&gt;='Model Settings'!$E$56)*'Model Settings'!$F$56)/('Model Settings'!$F$52+'Model Settings'!$F$53+'Model Settings'!$F$54+'Model Settings'!$F$55+'Model Settings'!$F$56),0)</f>
        <v>60</v>
      </c>
      <c r="L53" s="34" t="str">
        <f aca="false">IF('Player Data'!D53="Spain",ROUND(100*((N('Player Data'!H53)&gt;='Model Settings'!$E$57)*'Model Settings'!$F$57+(N('Player Data'!AI53)&gt;='Model Settings'!$E$58)*'Model Settings'!$F$58+(N('Player Data'!AL53)&gt;='Model Settings'!$E$59)*'Model Settings'!$F$59+(N('Player Data'!M53)&gt;='Model Settings'!$E$60)*'Model Settings'!$F$60+(N('Player Data'!X53)&lt;='Model Settings'!$E$61)*'Model Settings'!$F$61+(N('Player Data'!Y53)&gt;='Model Settings'!$E$62)*'Model Settings'!$F$62+(N('Player Data'!P53)&gt;='Model Settings'!$E$63)*'Model Settings'!$F$63)/('Model Settings'!$F$57+'Model Settings'!$F$58+'Model Settings'!$F$59+'Model Settings'!$F$60+'Model Settings'!$F$61+'Model Settings'!$F$62+'Model Settings'!$F$63),0),"n/a")</f>
        <v>n/a</v>
      </c>
      <c r="M53" s="34" t="str">
        <f aca="false">IF('Player Data'!CA53="None","No contact yet",IF('Player Data'!CA53="Improved","Working",IF('Player Data'!CA53="No change","Review approach","Escalate")))</f>
        <v>No contact yet</v>
      </c>
      <c r="N53" s="49" t="str">
        <f aca="false">IF(OR('Player Data'!BM53="Yes",I53="Alert"),"High",IF(B53&gt;='Model Settings'!$E$67,"High",IF(OR(B53&gt;='Model Settings'!$E$66,D53&gt;='Model Settings'!$E$68,F53&gt;='Model Settings'!$E$68,K53&gt;='Model Settings'!$E$68),"Medium","Low")))</f>
        <v>Medium</v>
      </c>
      <c r="O53" s="34" t="str">
        <f aca="false">IF(N53="High","Contact player + review within 48h; stop marketing",IF(N53="Medium","Safer gambling message; monitor weekly","No action; routine monitoring"))</f>
        <v>Safer gambling message; monitor weekly</v>
      </c>
      <c r="P53" s="34" t="n">
        <f aca="false">IF(OR(N53="High",AND('Model Settings'!$E$70="High+Medium",N53="Medium")),1,0)</f>
        <v>0</v>
      </c>
      <c r="Q53" s="34" t="n">
        <f aca="false">'Player Data'!CM53</f>
        <v>0</v>
      </c>
    </row>
    <row r="54" customFormat="false" ht="15" hidden="false" customHeight="false" outlineLevel="0" collapsed="false">
      <c r="A54" s="49" t="str">
        <f aca="false">'Player Data'!A54</f>
        <v>P049</v>
      </c>
      <c r="B54" s="50" t="n">
        <f aca="false">ROUND(100*((N('Player Data'!U54)&gt;='Model Settings'!$E$5)*'Model Settings'!$F$5+(N('Player Data'!AT54)&gt;='Model Settings'!$E$6)*'Model Settings'!$F$6+(N('Player Data'!BI54)&gt;='Model Settings'!$E$7)*'Model Settings'!$F$7+(N('Player Data'!AL54)&gt;='Model Settings'!$E$8)*'Model Settings'!$F$8+(N('Player Data'!AH54)&gt;='Model Settings'!$E$9)*'Model Settings'!$F$9+(N('Player Data'!B54)&lt;='Model Settings'!$E$10)*'Model Settings'!$F$10+(N('Player Data'!M54)&gt;='Model Settings'!$E$11)*'Model Settings'!$F$11+(N('Player Data'!J54)&lt;='Model Settings'!$E$12)*'Model Settings'!$F$12+(N('Player Data'!V54)&gt;='Model Settings'!$E$13)*'Model Settings'!$F$13+(N('Player Data'!W54)&gt;='Model Settings'!$E$14)*'Model Settings'!$F$14+(N('Player Data'!AE54)&gt;='Model Settings'!$E$15)*'Model Settings'!$F$15+(N('Player Data'!BF54)&gt;='Model Settings'!$E$16)*'Model Settings'!$F$16+(N('Player Data'!AX54)&gt;='Model Settings'!$E$17)*'Model Settings'!$F$17+(N('Player Data'!AP54)&gt;='Model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54" s="34" t="str">
        <f aca="false">IF('Player Data'!E54&lt;='Model Settings'!$E$69,ROUND(100*((N('Player Data'!H54)&gt;='Model Settings'!$E$19)*'Model Settings'!$F$19+(N('Player Data'!S54)&gt;='Model Settings'!$E$20)*'Model Settings'!$F$20+(N('Player Data'!AH54)&gt;='Model Settings'!$E$21)*'Model Settings'!$F$21+(N('Player Data'!AX54)&gt;='Model Settings'!$E$22)*'Model Settings'!$F$22+(N('Player Data'!Y54)&gt;='Model Settings'!$E$23)*'Model Settings'!$F$23+(N('Player Data'!AM54)&gt;='Model Settings'!$E$24)*'Model Settings'!$F$24)/('Model Settings'!$F$19+'Model Settings'!$F$20+'Model Settings'!$F$21+'Model Settings'!$F$22+'Model Settings'!$F$23+'Model Settings'!$F$24),0),"n/a")</f>
        <v>n/a</v>
      </c>
      <c r="D54" s="50" t="n">
        <f aca="false">ROUND(100*((N('Player Data'!U54)&gt;='Model Settings'!$E$25)*'Model Settings'!$F$25+(N('Player Data'!V54)&gt;='Model Settings'!$E$26)*'Model Settings'!$F$26+(N('Player Data'!W54)&gt;='Model Settings'!$E$27)*'Model Settings'!$F$27+(N('Player Data'!AT54)&gt;='Model Settings'!$E$28)*'Model Settings'!$F$28+(N('Player Data'!AE54)&gt;='Model Settings'!$E$29)*'Model Settings'!$F$29+(N('Player Data'!AO54)&gt;='Model Settings'!$E$30)*'Model Settings'!$F$30+(N('Player Data'!AG54)&gt;='Model Settings'!$E$31)*'Model Settings'!$F$31)/('Model Settings'!$F$25+'Model Settings'!$F$26+'Model Settings'!$F$27+'Model Settings'!$F$28+'Model Settings'!$F$29+'Model Settings'!$F$30+'Model Settings'!$F$31),0)</f>
        <v>14</v>
      </c>
      <c r="E54" s="50" t="n">
        <f aca="false">ROUND(100*((N('Player Data'!Z54)&gt;='Model Settings'!$E$32)*'Model Settings'!$F$32+(N('Player Data'!BN54)&gt;='Model Settings'!$E$33)*'Model Settings'!$F$33+(N('Player Data'!BO54)&gt;='Model Settings'!$E$34)*'Model Settings'!$F$34+(N('Player Data'!BP54)&gt;='Model Settings'!$E$35)*'Model Settings'!$F$35+('Player Data'!BR54='Model Settings'!$E$36)*'Model Settings'!$F$36+(N('Player Data'!AW54)&gt;='Model Settings'!$E$37)*'Model Settings'!$F$37+(N('Player Data'!AF54)&lt;='Model Settings'!$E$38)*'Model Settings'!$F$38)/('Model Settings'!$F$32+'Model Settings'!$F$33+'Model Settings'!$F$34+'Model Settings'!$F$35+'Model Settings'!$F$36+'Model Settings'!$F$37+'Model Settings'!$F$38),0)</f>
        <v>0</v>
      </c>
      <c r="F54" s="50" t="n">
        <f aca="false">ROUND(100*((N('Player Data'!K54)&gt;='Model Settings'!$E$39)*'Model Settings'!$F$39+(N('Player Data'!P54)&gt;='Model Settings'!$E$40)*'Model Settings'!$F$40+(N('Player Data'!M54)&gt;='Model Settings'!$E$41)*'Model Settings'!$F$41+(N('Player Data'!AU54)&gt;='Model Settings'!$E$42)*'Model Settings'!$F$42+(N('Player Data'!CL54)&gt;='Model Settings'!$E$43)*'Model Settings'!$F$43+(N('Player Data'!Q54)&gt;='Model Settings'!$E$44)*'Model Settings'!$F$44)/('Model Settings'!$F$39+'Model Settings'!$F$40+'Model Settings'!$F$41+'Model Settings'!$F$42+'Model Settings'!$F$43+'Model Settings'!$F$44),0)</f>
        <v>33</v>
      </c>
      <c r="G54" s="50" t="n">
        <f aca="false">ROUND(100*((N('Player Data'!BE54)&gt;='Model Settings'!$E$45)*'Model Settings'!$F$45+(N('Player Data'!BH54)&gt;='Model Settings'!$E$46)*'Model Settings'!$F$46+(N('Player Data'!U54)&gt;='Model Settings'!$E$47)*'Model Settings'!$F$47+(N('Player Data'!BN54)&gt;='Model Settings'!$E$48)*'Model Settings'!$F$48+(N('Player Data'!AX54)&gt;='Model Settings'!$E$49)*'Model Settings'!$F$49+(N('Player Data'!BL54)&gt;='Model Settings'!$E$50)*'Model Settings'!$F$50+(N('Player Data'!BI54)&gt;='Model Settings'!$E$51)*'Model Settings'!$F$51)/('Model Settings'!$F$45+'Model Settings'!$F$46+'Model Settings'!$F$47+'Model Settings'!$F$48+'Model Settings'!$F$49+'Model Settings'!$F$50+'Model Settings'!$F$51),0)</f>
        <v>0</v>
      </c>
      <c r="H54" s="34" t="str">
        <f aca="false">IF(AND(B54&lt;'Model Settings'!$E$66,E54&lt;'Model Settings'!$E$68),"Non-problem",IF(E54&gt;='Model Settings'!$E$68,"Financially vulnerable",IF(OR(N('Player Data'!BY54)&gt;=1,N('Player Data'!BX54)&gt;=2,N('Player Data'!BW54)&gt;=3),"Emotionally vulnerable","At-risk")))</f>
        <v>Non-problem</v>
      </c>
      <c r="I54" s="34" t="str">
        <f aca="false">IF(OR(N('Player Data'!BY54)&gt;=1,'Player Data'!BZ54="Yes"),"Alert","None")</f>
        <v>None</v>
      </c>
      <c r="J54" s="34" t="str">
        <f aca="false">IF(OR(B54&gt;='Model Settings'!$E$67,'Player Data'!BM54="Yes",I54="Alert"),"Suppress",IF(AND(B54&gt;='Model Settings'!$E$66,'Player Data'!G54="Yes"),"Review VIP","Allow"))</f>
        <v>Allow</v>
      </c>
      <c r="K54" s="50" t="n">
        <f aca="false">ROUND(100*((N('Player Data'!CH54)&gt;='Model Settings'!$E$52)*'Model Settings'!$F$52+(N('Player Data'!CI54)&gt;='Model Settings'!$E$53)*'Model Settings'!$F$53+(N('Player Data'!R54)&gt;='Model Settings'!$E$54)*'Model Settings'!$F$54+(N('Player Data'!Y54)&gt;='Model Settings'!$E$55)*'Model Settings'!$F$55+(N('Player Data'!AS54)&gt;='Model Settings'!$E$56)*'Model Settings'!$F$56)/('Model Settings'!$F$52+'Model Settings'!$F$53+'Model Settings'!$F$54+'Model Settings'!$F$55+'Model Settings'!$F$56),0)</f>
        <v>0</v>
      </c>
      <c r="L54" s="34" t="str">
        <f aca="false">IF('Player Data'!D54="Spain",ROUND(100*((N('Player Data'!H54)&gt;='Model Settings'!$E$57)*'Model Settings'!$F$57+(N('Player Data'!AI54)&gt;='Model Settings'!$E$58)*'Model Settings'!$F$58+(N('Player Data'!AL54)&gt;='Model Settings'!$E$59)*'Model Settings'!$F$59+(N('Player Data'!M54)&gt;='Model Settings'!$E$60)*'Model Settings'!$F$60+(N('Player Data'!X54)&lt;='Model Settings'!$E$61)*'Model Settings'!$F$61+(N('Player Data'!Y54)&gt;='Model Settings'!$E$62)*'Model Settings'!$F$62+(N('Player Data'!P54)&gt;='Model Settings'!$E$63)*'Model Settings'!$F$63)/('Model Settings'!$F$57+'Model Settings'!$F$58+'Model Settings'!$F$59+'Model Settings'!$F$60+'Model Settings'!$F$61+'Model Settings'!$F$62+'Model Settings'!$F$63),0),"n/a")</f>
        <v>n/a</v>
      </c>
      <c r="M54" s="34" t="str">
        <f aca="false">IF('Player Data'!CA54="None","No contact yet",IF('Player Data'!CA54="Improved","Working",IF('Player Data'!CA54="No change","Review approach","Escalate")))</f>
        <v>No contact yet</v>
      </c>
      <c r="N54" s="49" t="str">
        <f aca="false">IF(OR('Player Data'!BM54="Yes",I54="Alert"),"High",IF(B54&gt;='Model Settings'!$E$67,"High",IF(OR(B54&gt;='Model Settings'!$E$66,D54&gt;='Model Settings'!$E$68,F54&gt;='Model Settings'!$E$68,K54&gt;='Model Settings'!$E$68),"Medium","Low")))</f>
        <v>Low</v>
      </c>
      <c r="O54" s="34" t="str">
        <f aca="false">IF(N54="High","Contact player + review within 48h; stop marketing",IF(N54="Medium","Safer gambling message; monitor weekly","No action; routine monitoring"))</f>
        <v>No action; routine monitoring</v>
      </c>
      <c r="P54" s="34" t="n">
        <f aca="false">IF(OR(N54="High",AND('Model Settings'!$E$70="High+Medium",N54="Medium")),1,0)</f>
        <v>0</v>
      </c>
      <c r="Q54" s="34" t="n">
        <f aca="false">'Player Data'!CM54</f>
        <v>0</v>
      </c>
    </row>
    <row r="55" customFormat="false" ht="15" hidden="false" customHeight="false" outlineLevel="0" collapsed="false">
      <c r="A55" s="49" t="str">
        <f aca="false">'Player Data'!A55</f>
        <v>P050</v>
      </c>
      <c r="B55" s="50" t="n">
        <f aca="false">ROUND(100*((N('Player Data'!U55)&gt;='Model Settings'!$E$5)*'Model Settings'!$F$5+(N('Player Data'!AT55)&gt;='Model Settings'!$E$6)*'Model Settings'!$F$6+(N('Player Data'!BI55)&gt;='Model Settings'!$E$7)*'Model Settings'!$F$7+(N('Player Data'!AL55)&gt;='Model Settings'!$E$8)*'Model Settings'!$F$8+(N('Player Data'!AH55)&gt;='Model Settings'!$E$9)*'Model Settings'!$F$9+(N('Player Data'!B55)&lt;='Model Settings'!$E$10)*'Model Settings'!$F$10+(N('Player Data'!M55)&gt;='Model Settings'!$E$11)*'Model Settings'!$F$11+(N('Player Data'!J55)&lt;='Model Settings'!$E$12)*'Model Settings'!$F$12+(N('Player Data'!V55)&gt;='Model Settings'!$E$13)*'Model Settings'!$F$13+(N('Player Data'!W55)&gt;='Model Settings'!$E$14)*'Model Settings'!$F$14+(N('Player Data'!AE55)&gt;='Model Settings'!$E$15)*'Model Settings'!$F$15+(N('Player Data'!BF55)&gt;='Model Settings'!$E$16)*'Model Settings'!$F$16+(N('Player Data'!AX55)&gt;='Model Settings'!$E$17)*'Model Settings'!$F$17+(N('Player Data'!AP55)&gt;='Model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85</v>
      </c>
      <c r="C55" s="34" t="str">
        <f aca="false">IF('Player Data'!E55&lt;='Model Settings'!$E$69,ROUND(100*((N('Player Data'!H55)&gt;='Model Settings'!$E$19)*'Model Settings'!$F$19+(N('Player Data'!S55)&gt;='Model Settings'!$E$20)*'Model Settings'!$F$20+(N('Player Data'!AH55)&gt;='Model Settings'!$E$21)*'Model Settings'!$F$21+(N('Player Data'!AX55)&gt;='Model Settings'!$E$22)*'Model Settings'!$F$22+(N('Player Data'!Y55)&gt;='Model Settings'!$E$23)*'Model Settings'!$F$23+(N('Player Data'!AM55)&gt;='Model Settings'!$E$24)*'Model Settings'!$F$24)/('Model Settings'!$F$19+'Model Settings'!$F$20+'Model Settings'!$F$21+'Model Settings'!$F$22+'Model Settings'!$F$23+'Model Settings'!$F$24),0),"n/a")</f>
        <v>n/a</v>
      </c>
      <c r="D55" s="50" t="n">
        <f aca="false">ROUND(100*((N('Player Data'!U55)&gt;='Model Settings'!$E$25)*'Model Settings'!$F$25+(N('Player Data'!V55)&gt;='Model Settings'!$E$26)*'Model Settings'!$F$26+(N('Player Data'!W55)&gt;='Model Settings'!$E$27)*'Model Settings'!$F$27+(N('Player Data'!AT55)&gt;='Model Settings'!$E$28)*'Model Settings'!$F$28+(N('Player Data'!AE55)&gt;='Model Settings'!$E$29)*'Model Settings'!$F$29+(N('Player Data'!AO55)&gt;='Model Settings'!$E$30)*'Model Settings'!$F$30+(N('Player Data'!AG55)&gt;='Model Settings'!$E$31)*'Model Settings'!$F$31)/('Model Settings'!$F$25+'Model Settings'!$F$26+'Model Settings'!$F$27+'Model Settings'!$F$28+'Model Settings'!$F$29+'Model Settings'!$F$30+'Model Settings'!$F$31),0)</f>
        <v>86</v>
      </c>
      <c r="E55" s="50" t="n">
        <f aca="false">ROUND(100*((N('Player Data'!Z55)&gt;='Model Settings'!$E$32)*'Model Settings'!$F$32+(N('Player Data'!BN55)&gt;='Model Settings'!$E$33)*'Model Settings'!$F$33+(N('Player Data'!BO55)&gt;='Model Settings'!$E$34)*'Model Settings'!$F$34+(N('Player Data'!BP55)&gt;='Model Settings'!$E$35)*'Model Settings'!$F$35+('Player Data'!BR55='Model Settings'!$E$36)*'Model Settings'!$F$36+(N('Player Data'!AW55)&gt;='Model Settings'!$E$37)*'Model Settings'!$F$37+(N('Player Data'!AF55)&lt;='Model Settings'!$E$38)*'Model Settings'!$F$38)/('Model Settings'!$F$32+'Model Settings'!$F$33+'Model Settings'!$F$34+'Model Settings'!$F$35+'Model Settings'!$F$36+'Model Settings'!$F$37+'Model Settings'!$F$38),0)</f>
        <v>43</v>
      </c>
      <c r="F55" s="50" t="n">
        <f aca="false">ROUND(100*((N('Player Data'!K55)&gt;='Model Settings'!$E$39)*'Model Settings'!$F$39+(N('Player Data'!P55)&gt;='Model Settings'!$E$40)*'Model Settings'!$F$40+(N('Player Data'!M55)&gt;='Model Settings'!$E$41)*'Model Settings'!$F$41+(N('Player Data'!AU55)&gt;='Model Settings'!$E$42)*'Model Settings'!$F$42+(N('Player Data'!CL55)&gt;='Model Settings'!$E$43)*'Model Settings'!$F$43+(N('Player Data'!Q55)&gt;='Model Settings'!$E$44)*'Model Settings'!$F$44)/('Model Settings'!$F$39+'Model Settings'!$F$40+'Model Settings'!$F$41+'Model Settings'!$F$42+'Model Settings'!$F$43+'Model Settings'!$F$44),0)</f>
        <v>67</v>
      </c>
      <c r="G55" s="50" t="n">
        <f aca="false">ROUND(100*((N('Player Data'!BE55)&gt;='Model Settings'!$E$45)*'Model Settings'!$F$45+(N('Player Data'!BH55)&gt;='Model Settings'!$E$46)*'Model Settings'!$F$46+(N('Player Data'!U55)&gt;='Model Settings'!$E$47)*'Model Settings'!$F$47+(N('Player Data'!BN55)&gt;='Model Settings'!$E$48)*'Model Settings'!$F$48+(N('Player Data'!AX55)&gt;='Model Settings'!$E$49)*'Model Settings'!$F$49+(N('Player Data'!BL55)&gt;='Model Settings'!$E$50)*'Model Settings'!$F$50+(N('Player Data'!BI55)&gt;='Model Settings'!$E$51)*'Model Settings'!$F$51)/('Model Settings'!$F$45+'Model Settings'!$F$46+'Model Settings'!$F$47+'Model Settings'!$F$48+'Model Settings'!$F$49+'Model Settings'!$F$50+'Model Settings'!$F$51),0)</f>
        <v>86</v>
      </c>
      <c r="H55" s="34" t="str">
        <f aca="false">IF(AND(B55&lt;'Model Settings'!$E$66,E55&lt;'Model Settings'!$E$68),"Non-problem",IF(E55&gt;='Model Settings'!$E$68,"Financially vulnerable",IF(OR(N('Player Data'!BY55)&gt;=1,N('Player Data'!BX55)&gt;=2,N('Player Data'!BW55)&gt;=3),"Emotionally vulnerable","At-risk")))</f>
        <v>Emotionally vulnerable</v>
      </c>
      <c r="I55" s="34" t="str">
        <f aca="false">IF(OR(N('Player Data'!BY55)&gt;=1,'Player Data'!BZ55="Yes"),"Alert","None")</f>
        <v>Alert</v>
      </c>
      <c r="J55" s="34" t="str">
        <f aca="false">IF(OR(B55&gt;='Model Settings'!$E$67,'Player Data'!BM55="Yes",I55="Alert"),"Suppress",IF(AND(B55&gt;='Model Settings'!$E$66,'Player Data'!G55="Yes"),"Review VIP","Allow"))</f>
        <v>Suppress</v>
      </c>
      <c r="K55" s="50" t="n">
        <f aca="false">ROUND(100*((N('Player Data'!CH55)&gt;='Model Settings'!$E$52)*'Model Settings'!$F$52+(N('Player Data'!CI55)&gt;='Model Settings'!$E$53)*'Model Settings'!$F$53+(N('Player Data'!R55)&gt;='Model Settings'!$E$54)*'Model Settings'!$F$54+(N('Player Data'!Y55)&gt;='Model Settings'!$E$55)*'Model Settings'!$F$55+(N('Player Data'!AS55)&gt;='Model Settings'!$E$56)*'Model Settings'!$F$56)/('Model Settings'!$F$52+'Model Settings'!$F$53+'Model Settings'!$F$54+'Model Settings'!$F$55+'Model Settings'!$F$56),0)</f>
        <v>100</v>
      </c>
      <c r="L55" s="34" t="str">
        <f aca="false">IF('Player Data'!D55="Spain",ROUND(100*((N('Player Data'!H55)&gt;='Model Settings'!$E$57)*'Model Settings'!$F$57+(N('Player Data'!AI55)&gt;='Model Settings'!$E$58)*'Model Settings'!$F$58+(N('Player Data'!AL55)&gt;='Model Settings'!$E$59)*'Model Settings'!$F$59+(N('Player Data'!M55)&gt;='Model Settings'!$E$60)*'Model Settings'!$F$60+(N('Player Data'!X55)&lt;='Model Settings'!$E$61)*'Model Settings'!$F$61+(N('Player Data'!Y55)&gt;='Model Settings'!$E$62)*'Model Settings'!$F$62+(N('Player Data'!P55)&gt;='Model Settings'!$E$63)*'Model Settings'!$F$63)/('Model Settings'!$F$57+'Model Settings'!$F$58+'Model Settings'!$F$59+'Model Settings'!$F$60+'Model Settings'!$F$61+'Model Settings'!$F$62+'Model Settings'!$F$63),0),"n/a")</f>
        <v>n/a</v>
      </c>
      <c r="M55" s="34" t="str">
        <f aca="false">IF('Player Data'!CA55="None","No contact yet",IF('Player Data'!CA55="Improved","Working",IF('Player Data'!CA55="No change","Review approach","Escalate")))</f>
        <v>Escalate</v>
      </c>
      <c r="N55" s="49" t="str">
        <f aca="false">IF(OR('Player Data'!BM55="Yes",I55="Alert"),"High",IF(B55&gt;='Model Settings'!$E$67,"High",IF(OR(B55&gt;='Model Settings'!$E$66,D55&gt;='Model Settings'!$E$68,F55&gt;='Model Settings'!$E$68,K55&gt;='Model Settings'!$E$68),"Medium","Low")))</f>
        <v>High</v>
      </c>
      <c r="O55" s="34" t="str">
        <f aca="false">IF(N55="High","Contact player + review within 48h; stop marketing",IF(N55="Medium","Safer gambling message; monitor weekly","No action; routine monitoring"))</f>
        <v>Contact player + review within 48h; stop marketing</v>
      </c>
      <c r="P55" s="34" t="n">
        <f aca="false">IF(OR(N55="High",AND('Model Settings'!$E$70="High+Medium",N55="Medium")),1,0)</f>
        <v>1</v>
      </c>
      <c r="Q55" s="34" t="n">
        <f aca="false">'Player Data'!CM55</f>
        <v>1</v>
      </c>
    </row>
    <row r="56" customFormat="false" ht="15" hidden="false" customHeight="false" outlineLevel="0" collapsed="false">
      <c r="A56" s="49" t="str">
        <f aca="false">'Player Data'!A56</f>
        <v>P051</v>
      </c>
      <c r="B56" s="50" t="n">
        <f aca="false">ROUND(100*((N('Player Data'!U56)&gt;='Model Settings'!$E$5)*'Model Settings'!$F$5+(N('Player Data'!AT56)&gt;='Model Settings'!$E$6)*'Model Settings'!$F$6+(N('Player Data'!BI56)&gt;='Model Settings'!$E$7)*'Model Settings'!$F$7+(N('Player Data'!AL56)&gt;='Model Settings'!$E$8)*'Model Settings'!$F$8+(N('Player Data'!AH56)&gt;='Model Settings'!$E$9)*'Model Settings'!$F$9+(N('Player Data'!B56)&lt;='Model Settings'!$E$10)*'Model Settings'!$F$10+(N('Player Data'!M56)&gt;='Model Settings'!$E$11)*'Model Settings'!$F$11+(N('Player Data'!J56)&lt;='Model Settings'!$E$12)*'Model Settings'!$F$12+(N('Player Data'!V56)&gt;='Model Settings'!$E$13)*'Model Settings'!$F$13+(N('Player Data'!W56)&gt;='Model Settings'!$E$14)*'Model Settings'!$F$14+(N('Player Data'!AE56)&gt;='Model Settings'!$E$15)*'Model Settings'!$F$15+(N('Player Data'!BF56)&gt;='Model Settings'!$E$16)*'Model Settings'!$F$16+(N('Player Data'!AX56)&gt;='Model Settings'!$E$17)*'Model Settings'!$F$17+(N('Player Data'!AP56)&gt;='Model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37</v>
      </c>
      <c r="C56" s="34" t="n">
        <f aca="false">IF('Player Data'!E56&lt;='Model Settings'!$E$69,ROUND(100*((N('Player Data'!H56)&gt;='Model Settings'!$E$19)*'Model Settings'!$F$19+(N('Player Data'!S56)&gt;='Model Settings'!$E$20)*'Model Settings'!$F$20+(N('Player Data'!AH56)&gt;='Model Settings'!$E$21)*'Model Settings'!$F$21+(N('Player Data'!AX56)&gt;='Model Settings'!$E$22)*'Model Settings'!$F$22+(N('Player Data'!Y56)&gt;='Model Settings'!$E$23)*'Model Settings'!$F$23+(N('Player Data'!AM56)&gt;='Model Settings'!$E$24)*'Model Settings'!$F$24)/('Model Settings'!$F$19+'Model Settings'!$F$20+'Model Settings'!$F$21+'Model Settings'!$F$22+'Model Settings'!$F$23+'Model Settings'!$F$24),0),"n/a")</f>
        <v>33</v>
      </c>
      <c r="D56" s="50" t="n">
        <f aca="false">ROUND(100*((N('Player Data'!U56)&gt;='Model Settings'!$E$25)*'Model Settings'!$F$25+(N('Player Data'!V56)&gt;='Model Settings'!$E$26)*'Model Settings'!$F$26+(N('Player Data'!W56)&gt;='Model Settings'!$E$27)*'Model Settings'!$F$27+(N('Player Data'!AT56)&gt;='Model Settings'!$E$28)*'Model Settings'!$F$28+(N('Player Data'!AE56)&gt;='Model Settings'!$E$29)*'Model Settings'!$F$29+(N('Player Data'!AO56)&gt;='Model Settings'!$E$30)*'Model Settings'!$F$30+(N('Player Data'!AG56)&gt;='Model Settings'!$E$31)*'Model Settings'!$F$31)/('Model Settings'!$F$25+'Model Settings'!$F$26+'Model Settings'!$F$27+'Model Settings'!$F$28+'Model Settings'!$F$29+'Model Settings'!$F$30+'Model Settings'!$F$31),0)</f>
        <v>43</v>
      </c>
      <c r="E56" s="50" t="n">
        <f aca="false">ROUND(100*((N('Player Data'!Z56)&gt;='Model Settings'!$E$32)*'Model Settings'!$F$32+(N('Player Data'!BN56)&gt;='Model Settings'!$E$33)*'Model Settings'!$F$33+(N('Player Data'!BO56)&gt;='Model Settings'!$E$34)*'Model Settings'!$F$34+(N('Player Data'!BP56)&gt;='Model Settings'!$E$35)*'Model Settings'!$F$35+('Player Data'!BR56='Model Settings'!$E$36)*'Model Settings'!$F$36+(N('Player Data'!AW56)&gt;='Model Settings'!$E$37)*'Model Settings'!$F$37+(N('Player Data'!AF56)&lt;='Model Settings'!$E$38)*'Model Settings'!$F$38)/('Model Settings'!$F$32+'Model Settings'!$F$33+'Model Settings'!$F$34+'Model Settings'!$F$35+'Model Settings'!$F$36+'Model Settings'!$F$37+'Model Settings'!$F$38),0)</f>
        <v>43</v>
      </c>
      <c r="F56" s="50" t="n">
        <f aca="false">ROUND(100*((N('Player Data'!K56)&gt;='Model Settings'!$E$39)*'Model Settings'!$F$39+(N('Player Data'!P56)&gt;='Model Settings'!$E$40)*'Model Settings'!$F$40+(N('Player Data'!M56)&gt;='Model Settings'!$E$41)*'Model Settings'!$F$41+(N('Player Data'!AU56)&gt;='Model Settings'!$E$42)*'Model Settings'!$F$42+(N('Player Data'!CL56)&gt;='Model Settings'!$E$43)*'Model Settings'!$F$43+(N('Player Data'!Q56)&gt;='Model Settings'!$E$44)*'Model Settings'!$F$44)/('Model Settings'!$F$39+'Model Settings'!$F$40+'Model Settings'!$F$41+'Model Settings'!$F$42+'Model Settings'!$F$43+'Model Settings'!$F$44),0)</f>
        <v>17</v>
      </c>
      <c r="G56" s="50" t="n">
        <f aca="false">ROUND(100*((N('Player Data'!BE56)&gt;='Model Settings'!$E$45)*'Model Settings'!$F$45+(N('Player Data'!BH56)&gt;='Model Settings'!$E$46)*'Model Settings'!$F$46+(N('Player Data'!U56)&gt;='Model Settings'!$E$47)*'Model Settings'!$F$47+(N('Player Data'!BN56)&gt;='Model Settings'!$E$48)*'Model Settings'!$F$48+(N('Player Data'!AX56)&gt;='Model Settings'!$E$49)*'Model Settings'!$F$49+(N('Player Data'!BL56)&gt;='Model Settings'!$E$50)*'Model Settings'!$F$50+(N('Player Data'!BI56)&gt;='Model Settings'!$E$51)*'Model Settings'!$F$51)/('Model Settings'!$F$45+'Model Settings'!$F$46+'Model Settings'!$F$47+'Model Settings'!$F$48+'Model Settings'!$F$49+'Model Settings'!$F$50+'Model Settings'!$F$51),0)</f>
        <v>29</v>
      </c>
      <c r="H56" s="34" t="str">
        <f aca="false">IF(AND(B56&lt;'Model Settings'!$E$66,E56&lt;'Model Settings'!$E$68),"Non-problem",IF(E56&gt;='Model Settings'!$E$68,"Financially vulnerable",IF(OR(N('Player Data'!BY56)&gt;=1,N('Player Data'!BX56)&gt;=2,N('Player Data'!BW56)&gt;=3),"Emotionally vulnerable","At-risk")))</f>
        <v>Emotionally vulnerable</v>
      </c>
      <c r="I56" s="34" t="str">
        <f aca="false">IF(OR(N('Player Data'!BY56)&gt;=1,'Player Data'!BZ56="Yes"),"Alert","None")</f>
        <v>None</v>
      </c>
      <c r="J56" s="34" t="str">
        <f aca="false">IF(OR(B56&gt;='Model Settings'!$E$67,'Player Data'!BM56="Yes",I56="Alert"),"Suppress",IF(AND(B56&gt;='Model Settings'!$E$66,'Player Data'!G56="Yes"),"Review VIP","Allow"))</f>
        <v>Allow</v>
      </c>
      <c r="K56" s="50" t="n">
        <f aca="false">ROUND(100*((N('Player Data'!CH56)&gt;='Model Settings'!$E$52)*'Model Settings'!$F$52+(N('Player Data'!CI56)&gt;='Model Settings'!$E$53)*'Model Settings'!$F$53+(N('Player Data'!R56)&gt;='Model Settings'!$E$54)*'Model Settings'!$F$54+(N('Player Data'!Y56)&gt;='Model Settings'!$E$55)*'Model Settings'!$F$55+(N('Player Data'!AS56)&gt;='Model Settings'!$E$56)*'Model Settings'!$F$56)/('Model Settings'!$F$52+'Model Settings'!$F$53+'Model Settings'!$F$54+'Model Settings'!$F$55+'Model Settings'!$F$56),0)</f>
        <v>20</v>
      </c>
      <c r="L56" s="34" t="n">
        <f aca="false">IF('Player Data'!D56="Spain",ROUND(100*((N('Player Data'!H56)&gt;='Model Settings'!$E$57)*'Model Settings'!$F$57+(N('Player Data'!AI56)&gt;='Model Settings'!$E$58)*'Model Settings'!$F$58+(N('Player Data'!AL56)&gt;='Model Settings'!$E$59)*'Model Settings'!$F$59+(N('Player Data'!M56)&gt;='Model Settings'!$E$60)*'Model Settings'!$F$60+(N('Player Data'!X56)&lt;='Model Settings'!$E$61)*'Model Settings'!$F$61+(N('Player Data'!Y56)&gt;='Model Settings'!$E$62)*'Model Settings'!$F$62+(N('Player Data'!P56)&gt;='Model Settings'!$E$63)*'Model Settings'!$F$63)/('Model Settings'!$F$57+'Model Settings'!$F$58+'Model Settings'!$F$59+'Model Settings'!$F$60+'Model Settings'!$F$61+'Model Settings'!$F$62+'Model Settings'!$F$63),0),"n/a")</f>
        <v>14</v>
      </c>
      <c r="M56" s="34" t="str">
        <f aca="false">IF('Player Data'!CA56="None","No contact yet",IF('Player Data'!CA56="Improved","Working",IF('Player Data'!CA56="No change","Review approach","Escalate")))</f>
        <v>Review approach</v>
      </c>
      <c r="N56" s="49" t="str">
        <f aca="false">IF(OR('Player Data'!BM56="Yes",I56="Alert"),"High",IF(B56&gt;='Model Settings'!$E$67,"High",IF(OR(B56&gt;='Model Settings'!$E$66,D56&gt;='Model Settings'!$E$68,F56&gt;='Model Settings'!$E$68,K56&gt;='Model Settings'!$E$68),"Medium","Low")))</f>
        <v>Medium</v>
      </c>
      <c r="O56" s="34" t="str">
        <f aca="false">IF(N56="High","Contact player + review within 48h; stop marketing",IF(N56="Medium","Safer gambling message; monitor weekly","No action; routine monitoring"))</f>
        <v>Safer gambling message; monitor weekly</v>
      </c>
      <c r="P56" s="34" t="n">
        <f aca="false">IF(OR(N56="High",AND('Model Settings'!$E$70="High+Medium",N56="Medium")),1,0)</f>
        <v>0</v>
      </c>
      <c r="Q56" s="34" t="n">
        <f aca="false">'Player Data'!CM56</f>
        <v>1</v>
      </c>
    </row>
    <row r="57" customFormat="false" ht="15" hidden="false" customHeight="false" outlineLevel="0" collapsed="false">
      <c r="A57" s="49" t="str">
        <f aca="false">'Player Data'!A57</f>
        <v>P052</v>
      </c>
      <c r="B57" s="50" t="n">
        <f aca="false">ROUND(100*((N('Player Data'!U57)&gt;='Model Settings'!$E$5)*'Model Settings'!$F$5+(N('Player Data'!AT57)&gt;='Model Settings'!$E$6)*'Model Settings'!$F$6+(N('Player Data'!BI57)&gt;='Model Settings'!$E$7)*'Model Settings'!$F$7+(N('Player Data'!AL57)&gt;='Model Settings'!$E$8)*'Model Settings'!$F$8+(N('Player Data'!AH57)&gt;='Model Settings'!$E$9)*'Model Settings'!$F$9+(N('Player Data'!B57)&lt;='Model Settings'!$E$10)*'Model Settings'!$F$10+(N('Player Data'!M57)&gt;='Model Settings'!$E$11)*'Model Settings'!$F$11+(N('Player Data'!J57)&lt;='Model Settings'!$E$12)*'Model Settings'!$F$12+(N('Player Data'!V57)&gt;='Model Settings'!$E$13)*'Model Settings'!$F$13+(N('Player Data'!W57)&gt;='Model Settings'!$E$14)*'Model Settings'!$F$14+(N('Player Data'!AE57)&gt;='Model Settings'!$E$15)*'Model Settings'!$F$15+(N('Player Data'!BF57)&gt;='Model Settings'!$E$16)*'Model Settings'!$F$16+(N('Player Data'!AX57)&gt;='Model Settings'!$E$17)*'Model Settings'!$F$17+(N('Player Data'!AP57)&gt;='Model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57" s="34" t="str">
        <f aca="false">IF('Player Data'!E57&lt;='Model Settings'!$E$69,ROUND(100*((N('Player Data'!H57)&gt;='Model Settings'!$E$19)*'Model Settings'!$F$19+(N('Player Data'!S57)&gt;='Model Settings'!$E$20)*'Model Settings'!$F$20+(N('Player Data'!AH57)&gt;='Model Settings'!$E$21)*'Model Settings'!$F$21+(N('Player Data'!AX57)&gt;='Model Settings'!$E$22)*'Model Settings'!$F$22+(N('Player Data'!Y57)&gt;='Model Settings'!$E$23)*'Model Settings'!$F$23+(N('Player Data'!AM57)&gt;='Model Settings'!$E$24)*'Model Settings'!$F$24)/('Model Settings'!$F$19+'Model Settings'!$F$20+'Model Settings'!$F$21+'Model Settings'!$F$22+'Model Settings'!$F$23+'Model Settings'!$F$24),0),"n/a")</f>
        <v>n/a</v>
      </c>
      <c r="D57" s="50" t="n">
        <f aca="false">ROUND(100*((N('Player Data'!U57)&gt;='Model Settings'!$E$25)*'Model Settings'!$F$25+(N('Player Data'!V57)&gt;='Model Settings'!$E$26)*'Model Settings'!$F$26+(N('Player Data'!W57)&gt;='Model Settings'!$E$27)*'Model Settings'!$F$27+(N('Player Data'!AT57)&gt;='Model Settings'!$E$28)*'Model Settings'!$F$28+(N('Player Data'!AE57)&gt;='Model Settings'!$E$29)*'Model Settings'!$F$29+(N('Player Data'!AO57)&gt;='Model Settings'!$E$30)*'Model Settings'!$F$30+(N('Player Data'!AG57)&gt;='Model Settings'!$E$31)*'Model Settings'!$F$31)/('Model Settings'!$F$25+'Model Settings'!$F$26+'Model Settings'!$F$27+'Model Settings'!$F$28+'Model Settings'!$F$29+'Model Settings'!$F$30+'Model Settings'!$F$31),0)</f>
        <v>0</v>
      </c>
      <c r="E57" s="50" t="n">
        <f aca="false">ROUND(100*((N('Player Data'!Z57)&gt;='Model Settings'!$E$32)*'Model Settings'!$F$32+(N('Player Data'!BN57)&gt;='Model Settings'!$E$33)*'Model Settings'!$F$33+(N('Player Data'!BO57)&gt;='Model Settings'!$E$34)*'Model Settings'!$F$34+(N('Player Data'!BP57)&gt;='Model Settings'!$E$35)*'Model Settings'!$F$35+('Player Data'!BR57='Model Settings'!$E$36)*'Model Settings'!$F$36+(N('Player Data'!AW57)&gt;='Model Settings'!$E$37)*'Model Settings'!$F$37+(N('Player Data'!AF57)&lt;='Model Settings'!$E$38)*'Model Settings'!$F$38)/('Model Settings'!$F$32+'Model Settings'!$F$33+'Model Settings'!$F$34+'Model Settings'!$F$35+'Model Settings'!$F$36+'Model Settings'!$F$37+'Model Settings'!$F$38),0)</f>
        <v>0</v>
      </c>
      <c r="F57" s="50" t="n">
        <f aca="false">ROUND(100*((N('Player Data'!K57)&gt;='Model Settings'!$E$39)*'Model Settings'!$F$39+(N('Player Data'!P57)&gt;='Model Settings'!$E$40)*'Model Settings'!$F$40+(N('Player Data'!M57)&gt;='Model Settings'!$E$41)*'Model Settings'!$F$41+(N('Player Data'!AU57)&gt;='Model Settings'!$E$42)*'Model Settings'!$F$42+(N('Player Data'!CL57)&gt;='Model Settings'!$E$43)*'Model Settings'!$F$43+(N('Player Data'!Q57)&gt;='Model Settings'!$E$44)*'Model Settings'!$F$44)/('Model Settings'!$F$39+'Model Settings'!$F$40+'Model Settings'!$F$41+'Model Settings'!$F$42+'Model Settings'!$F$43+'Model Settings'!$F$44),0)</f>
        <v>0</v>
      </c>
      <c r="G57" s="50" t="n">
        <f aca="false">ROUND(100*((N('Player Data'!BE57)&gt;='Model Settings'!$E$45)*'Model Settings'!$F$45+(N('Player Data'!BH57)&gt;='Model Settings'!$E$46)*'Model Settings'!$F$46+(N('Player Data'!U57)&gt;='Model Settings'!$E$47)*'Model Settings'!$F$47+(N('Player Data'!BN57)&gt;='Model Settings'!$E$48)*'Model Settings'!$F$48+(N('Player Data'!AX57)&gt;='Model Settings'!$E$49)*'Model Settings'!$F$49+(N('Player Data'!BL57)&gt;='Model Settings'!$E$50)*'Model Settings'!$F$50+(N('Player Data'!BI57)&gt;='Model Settings'!$E$51)*'Model Settings'!$F$51)/('Model Settings'!$F$45+'Model Settings'!$F$46+'Model Settings'!$F$47+'Model Settings'!$F$48+'Model Settings'!$F$49+'Model Settings'!$F$50+'Model Settings'!$F$51),0)</f>
        <v>0</v>
      </c>
      <c r="H57" s="34" t="str">
        <f aca="false">IF(AND(B57&lt;'Model Settings'!$E$66,E57&lt;'Model Settings'!$E$68),"Non-problem",IF(E57&gt;='Model Settings'!$E$68,"Financially vulnerable",IF(OR(N('Player Data'!BY57)&gt;=1,N('Player Data'!BX57)&gt;=2,N('Player Data'!BW57)&gt;=3),"Emotionally vulnerable","At-risk")))</f>
        <v>Non-problem</v>
      </c>
      <c r="I57" s="34" t="str">
        <f aca="false">IF(OR(N('Player Data'!BY57)&gt;=1,'Player Data'!BZ57="Yes"),"Alert","None")</f>
        <v>None</v>
      </c>
      <c r="J57" s="34" t="str">
        <f aca="false">IF(OR(B57&gt;='Model Settings'!$E$67,'Player Data'!BM57="Yes",I57="Alert"),"Suppress",IF(AND(B57&gt;='Model Settings'!$E$66,'Player Data'!G57="Yes"),"Review VIP","Allow"))</f>
        <v>Allow</v>
      </c>
      <c r="K57" s="50" t="n">
        <f aca="false">ROUND(100*((N('Player Data'!CH57)&gt;='Model Settings'!$E$52)*'Model Settings'!$F$52+(N('Player Data'!CI57)&gt;='Model Settings'!$E$53)*'Model Settings'!$F$53+(N('Player Data'!R57)&gt;='Model Settings'!$E$54)*'Model Settings'!$F$54+(N('Player Data'!Y57)&gt;='Model Settings'!$E$55)*'Model Settings'!$F$55+(N('Player Data'!AS57)&gt;='Model Settings'!$E$56)*'Model Settings'!$F$56)/('Model Settings'!$F$52+'Model Settings'!$F$53+'Model Settings'!$F$54+'Model Settings'!$F$55+'Model Settings'!$F$56),0)</f>
        <v>0</v>
      </c>
      <c r="L57" s="34" t="str">
        <f aca="false">IF('Player Data'!D57="Spain",ROUND(100*((N('Player Data'!H57)&gt;='Model Settings'!$E$57)*'Model Settings'!$F$57+(N('Player Data'!AI57)&gt;='Model Settings'!$E$58)*'Model Settings'!$F$58+(N('Player Data'!AL57)&gt;='Model Settings'!$E$59)*'Model Settings'!$F$59+(N('Player Data'!M57)&gt;='Model Settings'!$E$60)*'Model Settings'!$F$60+(N('Player Data'!X57)&lt;='Model Settings'!$E$61)*'Model Settings'!$F$61+(N('Player Data'!Y57)&gt;='Model Settings'!$E$62)*'Model Settings'!$F$62+(N('Player Data'!P57)&gt;='Model Settings'!$E$63)*'Model Settings'!$F$63)/('Model Settings'!$F$57+'Model Settings'!$F$58+'Model Settings'!$F$59+'Model Settings'!$F$60+'Model Settings'!$F$61+'Model Settings'!$F$62+'Model Settings'!$F$63),0),"n/a")</f>
        <v>n/a</v>
      </c>
      <c r="M57" s="34" t="str">
        <f aca="false">IF('Player Data'!CA57="None","No contact yet",IF('Player Data'!CA57="Improved","Working",IF('Player Data'!CA57="No change","Review approach","Escalate")))</f>
        <v>No contact yet</v>
      </c>
      <c r="N57" s="49" t="str">
        <f aca="false">IF(OR('Player Data'!BM57="Yes",I57="Alert"),"High",IF(B57&gt;='Model Settings'!$E$67,"High",IF(OR(B57&gt;='Model Settings'!$E$66,D57&gt;='Model Settings'!$E$68,F57&gt;='Model Settings'!$E$68,K57&gt;='Model Settings'!$E$68),"Medium","Low")))</f>
        <v>Low</v>
      </c>
      <c r="O57" s="34" t="str">
        <f aca="false">IF(N57="High","Contact player + review within 48h; stop marketing",IF(N57="Medium","Safer gambling message; monitor weekly","No action; routine monitoring"))</f>
        <v>No action; routine monitoring</v>
      </c>
      <c r="P57" s="34" t="n">
        <f aca="false">IF(OR(N57="High",AND('Model Settings'!$E$70="High+Medium",N57="Medium")),1,0)</f>
        <v>0</v>
      </c>
      <c r="Q57" s="34" t="n">
        <f aca="false">'Player Data'!CM57</f>
        <v>0</v>
      </c>
    </row>
    <row r="58" customFormat="false" ht="15" hidden="false" customHeight="false" outlineLevel="0" collapsed="false">
      <c r="A58" s="49" t="str">
        <f aca="false">'Player Data'!A58</f>
        <v>P053</v>
      </c>
      <c r="B58" s="50" t="n">
        <f aca="false">ROUND(100*((N('Player Data'!U58)&gt;='Model Settings'!$E$5)*'Model Settings'!$F$5+(N('Player Data'!AT58)&gt;='Model Settings'!$E$6)*'Model Settings'!$F$6+(N('Player Data'!BI58)&gt;='Model Settings'!$E$7)*'Model Settings'!$F$7+(N('Player Data'!AL58)&gt;='Model Settings'!$E$8)*'Model Settings'!$F$8+(N('Player Data'!AH58)&gt;='Model Settings'!$E$9)*'Model Settings'!$F$9+(N('Player Data'!B58)&lt;='Model Settings'!$E$10)*'Model Settings'!$F$10+(N('Player Data'!M58)&gt;='Model Settings'!$E$11)*'Model Settings'!$F$11+(N('Player Data'!J58)&lt;='Model Settings'!$E$12)*'Model Settings'!$F$12+(N('Player Data'!V58)&gt;='Model Settings'!$E$13)*'Model Settings'!$F$13+(N('Player Data'!W58)&gt;='Model Settings'!$E$14)*'Model Settings'!$F$14+(N('Player Data'!AE58)&gt;='Model Settings'!$E$15)*'Model Settings'!$F$15+(N('Player Data'!BF58)&gt;='Model Settings'!$E$16)*'Model Settings'!$F$16+(N('Player Data'!AX58)&gt;='Model Settings'!$E$17)*'Model Settings'!$F$17+(N('Player Data'!AP58)&gt;='Model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58" s="34" t="str">
        <f aca="false">IF('Player Data'!E58&lt;='Model Settings'!$E$69,ROUND(100*((N('Player Data'!H58)&gt;='Model Settings'!$E$19)*'Model Settings'!$F$19+(N('Player Data'!S58)&gt;='Model Settings'!$E$20)*'Model Settings'!$F$20+(N('Player Data'!AH58)&gt;='Model Settings'!$E$21)*'Model Settings'!$F$21+(N('Player Data'!AX58)&gt;='Model Settings'!$E$22)*'Model Settings'!$F$22+(N('Player Data'!Y58)&gt;='Model Settings'!$E$23)*'Model Settings'!$F$23+(N('Player Data'!AM58)&gt;='Model Settings'!$E$24)*'Model Settings'!$F$24)/('Model Settings'!$F$19+'Model Settings'!$F$20+'Model Settings'!$F$21+'Model Settings'!$F$22+'Model Settings'!$F$23+'Model Settings'!$F$24),0),"n/a")</f>
        <v>n/a</v>
      </c>
      <c r="D58" s="50" t="n">
        <f aca="false">ROUND(100*((N('Player Data'!U58)&gt;='Model Settings'!$E$25)*'Model Settings'!$F$25+(N('Player Data'!V58)&gt;='Model Settings'!$E$26)*'Model Settings'!$F$26+(N('Player Data'!W58)&gt;='Model Settings'!$E$27)*'Model Settings'!$F$27+(N('Player Data'!AT58)&gt;='Model Settings'!$E$28)*'Model Settings'!$F$28+(N('Player Data'!AE58)&gt;='Model Settings'!$E$29)*'Model Settings'!$F$29+(N('Player Data'!AO58)&gt;='Model Settings'!$E$30)*'Model Settings'!$F$30+(N('Player Data'!AG58)&gt;='Model Settings'!$E$31)*'Model Settings'!$F$31)/('Model Settings'!$F$25+'Model Settings'!$F$26+'Model Settings'!$F$27+'Model Settings'!$F$28+'Model Settings'!$F$29+'Model Settings'!$F$30+'Model Settings'!$F$31),0)</f>
        <v>14</v>
      </c>
      <c r="E58" s="50" t="n">
        <f aca="false">ROUND(100*((N('Player Data'!Z58)&gt;='Model Settings'!$E$32)*'Model Settings'!$F$32+(N('Player Data'!BN58)&gt;='Model Settings'!$E$33)*'Model Settings'!$F$33+(N('Player Data'!BO58)&gt;='Model Settings'!$E$34)*'Model Settings'!$F$34+(N('Player Data'!BP58)&gt;='Model Settings'!$E$35)*'Model Settings'!$F$35+('Player Data'!BR58='Model Settings'!$E$36)*'Model Settings'!$F$36+(N('Player Data'!AW58)&gt;='Model Settings'!$E$37)*'Model Settings'!$F$37+(N('Player Data'!AF58)&lt;='Model Settings'!$E$38)*'Model Settings'!$F$38)/('Model Settings'!$F$32+'Model Settings'!$F$33+'Model Settings'!$F$34+'Model Settings'!$F$35+'Model Settings'!$F$36+'Model Settings'!$F$37+'Model Settings'!$F$38),0)</f>
        <v>0</v>
      </c>
      <c r="F58" s="50" t="n">
        <f aca="false">ROUND(100*((N('Player Data'!K58)&gt;='Model Settings'!$E$39)*'Model Settings'!$F$39+(N('Player Data'!P58)&gt;='Model Settings'!$E$40)*'Model Settings'!$F$40+(N('Player Data'!M58)&gt;='Model Settings'!$E$41)*'Model Settings'!$F$41+(N('Player Data'!AU58)&gt;='Model Settings'!$E$42)*'Model Settings'!$F$42+(N('Player Data'!CL58)&gt;='Model Settings'!$E$43)*'Model Settings'!$F$43+(N('Player Data'!Q58)&gt;='Model Settings'!$E$44)*'Model Settings'!$F$44)/('Model Settings'!$F$39+'Model Settings'!$F$40+'Model Settings'!$F$41+'Model Settings'!$F$42+'Model Settings'!$F$43+'Model Settings'!$F$44),0)</f>
        <v>0</v>
      </c>
      <c r="G58" s="50" t="n">
        <f aca="false">ROUND(100*((N('Player Data'!BE58)&gt;='Model Settings'!$E$45)*'Model Settings'!$F$45+(N('Player Data'!BH58)&gt;='Model Settings'!$E$46)*'Model Settings'!$F$46+(N('Player Data'!U58)&gt;='Model Settings'!$E$47)*'Model Settings'!$F$47+(N('Player Data'!BN58)&gt;='Model Settings'!$E$48)*'Model Settings'!$F$48+(N('Player Data'!AX58)&gt;='Model Settings'!$E$49)*'Model Settings'!$F$49+(N('Player Data'!BL58)&gt;='Model Settings'!$E$50)*'Model Settings'!$F$50+(N('Player Data'!BI58)&gt;='Model Settings'!$E$51)*'Model Settings'!$F$51)/('Model Settings'!$F$45+'Model Settings'!$F$46+'Model Settings'!$F$47+'Model Settings'!$F$48+'Model Settings'!$F$49+'Model Settings'!$F$50+'Model Settings'!$F$51),0)</f>
        <v>0</v>
      </c>
      <c r="H58" s="34" t="str">
        <f aca="false">IF(AND(B58&lt;'Model Settings'!$E$66,E58&lt;'Model Settings'!$E$68),"Non-problem",IF(E58&gt;='Model Settings'!$E$68,"Financially vulnerable",IF(OR(N('Player Data'!BY58)&gt;=1,N('Player Data'!BX58)&gt;=2,N('Player Data'!BW58)&gt;=3),"Emotionally vulnerable","At-risk")))</f>
        <v>Non-problem</v>
      </c>
      <c r="I58" s="34" t="str">
        <f aca="false">IF(OR(N('Player Data'!BY58)&gt;=1,'Player Data'!BZ58="Yes"),"Alert","None")</f>
        <v>None</v>
      </c>
      <c r="J58" s="34" t="str">
        <f aca="false">IF(OR(B58&gt;='Model Settings'!$E$67,'Player Data'!BM58="Yes",I58="Alert"),"Suppress",IF(AND(B58&gt;='Model Settings'!$E$66,'Player Data'!G58="Yes"),"Review VIP","Allow"))</f>
        <v>Allow</v>
      </c>
      <c r="K58" s="50" t="n">
        <f aca="false">ROUND(100*((N('Player Data'!CH58)&gt;='Model Settings'!$E$52)*'Model Settings'!$F$52+(N('Player Data'!CI58)&gt;='Model Settings'!$E$53)*'Model Settings'!$F$53+(N('Player Data'!R58)&gt;='Model Settings'!$E$54)*'Model Settings'!$F$54+(N('Player Data'!Y58)&gt;='Model Settings'!$E$55)*'Model Settings'!$F$55+(N('Player Data'!AS58)&gt;='Model Settings'!$E$56)*'Model Settings'!$F$56)/('Model Settings'!$F$52+'Model Settings'!$F$53+'Model Settings'!$F$54+'Model Settings'!$F$55+'Model Settings'!$F$56),0)</f>
        <v>0</v>
      </c>
      <c r="L58" s="34" t="str">
        <f aca="false">IF('Player Data'!D58="Spain",ROUND(100*((N('Player Data'!H58)&gt;='Model Settings'!$E$57)*'Model Settings'!$F$57+(N('Player Data'!AI58)&gt;='Model Settings'!$E$58)*'Model Settings'!$F$58+(N('Player Data'!AL58)&gt;='Model Settings'!$E$59)*'Model Settings'!$F$59+(N('Player Data'!M58)&gt;='Model Settings'!$E$60)*'Model Settings'!$F$60+(N('Player Data'!X58)&lt;='Model Settings'!$E$61)*'Model Settings'!$F$61+(N('Player Data'!Y58)&gt;='Model Settings'!$E$62)*'Model Settings'!$F$62+(N('Player Data'!P58)&gt;='Model Settings'!$E$63)*'Model Settings'!$F$63)/('Model Settings'!$F$57+'Model Settings'!$F$58+'Model Settings'!$F$59+'Model Settings'!$F$60+'Model Settings'!$F$61+'Model Settings'!$F$62+'Model Settings'!$F$63),0),"n/a")</f>
        <v>n/a</v>
      </c>
      <c r="M58" s="34" t="str">
        <f aca="false">IF('Player Data'!CA58="None","No contact yet",IF('Player Data'!CA58="Improved","Working",IF('Player Data'!CA58="No change","Review approach","Escalate")))</f>
        <v>No contact yet</v>
      </c>
      <c r="N58" s="49" t="str">
        <f aca="false">IF(OR('Player Data'!BM58="Yes",I58="Alert"),"High",IF(B58&gt;='Model Settings'!$E$67,"High",IF(OR(B58&gt;='Model Settings'!$E$66,D58&gt;='Model Settings'!$E$68,F58&gt;='Model Settings'!$E$68,K58&gt;='Model Settings'!$E$68),"Medium","Low")))</f>
        <v>Low</v>
      </c>
      <c r="O58" s="34" t="str">
        <f aca="false">IF(N58="High","Contact player + review within 48h; stop marketing",IF(N58="Medium","Safer gambling message; monitor weekly","No action; routine monitoring"))</f>
        <v>No action; routine monitoring</v>
      </c>
      <c r="P58" s="34" t="n">
        <f aca="false">IF(OR(N58="High",AND('Model Settings'!$E$70="High+Medium",N58="Medium")),1,0)</f>
        <v>0</v>
      </c>
      <c r="Q58" s="34" t="n">
        <f aca="false">'Player Data'!CM58</f>
        <v>0</v>
      </c>
    </row>
    <row r="59" customFormat="false" ht="15" hidden="false" customHeight="false" outlineLevel="0" collapsed="false">
      <c r="A59" s="49" t="str">
        <f aca="false">'Player Data'!A59</f>
        <v>P054</v>
      </c>
      <c r="B59" s="50" t="n">
        <f aca="false">ROUND(100*((N('Player Data'!U59)&gt;='Model Settings'!$E$5)*'Model Settings'!$F$5+(N('Player Data'!AT59)&gt;='Model Settings'!$E$6)*'Model Settings'!$F$6+(N('Player Data'!BI59)&gt;='Model Settings'!$E$7)*'Model Settings'!$F$7+(N('Player Data'!AL59)&gt;='Model Settings'!$E$8)*'Model Settings'!$F$8+(N('Player Data'!AH59)&gt;='Model Settings'!$E$9)*'Model Settings'!$F$9+(N('Player Data'!B59)&lt;='Model Settings'!$E$10)*'Model Settings'!$F$10+(N('Player Data'!M59)&gt;='Model Settings'!$E$11)*'Model Settings'!$F$11+(N('Player Data'!J59)&lt;='Model Settings'!$E$12)*'Model Settings'!$F$12+(N('Player Data'!V59)&gt;='Model Settings'!$E$13)*'Model Settings'!$F$13+(N('Player Data'!W59)&gt;='Model Settings'!$E$14)*'Model Settings'!$F$14+(N('Player Data'!AE59)&gt;='Model Settings'!$E$15)*'Model Settings'!$F$15+(N('Player Data'!BF59)&gt;='Model Settings'!$E$16)*'Model Settings'!$F$16+(N('Player Data'!AX59)&gt;='Model Settings'!$E$17)*'Model Settings'!$F$17+(N('Player Data'!AP59)&gt;='Model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30</v>
      </c>
      <c r="C59" s="34" t="str">
        <f aca="false">IF('Player Data'!E59&lt;='Model Settings'!$E$69,ROUND(100*((N('Player Data'!H59)&gt;='Model Settings'!$E$19)*'Model Settings'!$F$19+(N('Player Data'!S59)&gt;='Model Settings'!$E$20)*'Model Settings'!$F$20+(N('Player Data'!AH59)&gt;='Model Settings'!$E$21)*'Model Settings'!$F$21+(N('Player Data'!AX59)&gt;='Model Settings'!$E$22)*'Model Settings'!$F$22+(N('Player Data'!Y59)&gt;='Model Settings'!$E$23)*'Model Settings'!$F$23+(N('Player Data'!AM59)&gt;='Model Settings'!$E$24)*'Model Settings'!$F$24)/('Model Settings'!$F$19+'Model Settings'!$F$20+'Model Settings'!$F$21+'Model Settings'!$F$22+'Model Settings'!$F$23+'Model Settings'!$F$24),0),"n/a")</f>
        <v>n/a</v>
      </c>
      <c r="D59" s="50" t="n">
        <f aca="false">ROUND(100*((N('Player Data'!U59)&gt;='Model Settings'!$E$25)*'Model Settings'!$F$25+(N('Player Data'!V59)&gt;='Model Settings'!$E$26)*'Model Settings'!$F$26+(N('Player Data'!W59)&gt;='Model Settings'!$E$27)*'Model Settings'!$F$27+(N('Player Data'!AT59)&gt;='Model Settings'!$E$28)*'Model Settings'!$F$28+(N('Player Data'!AE59)&gt;='Model Settings'!$E$29)*'Model Settings'!$F$29+(N('Player Data'!AO59)&gt;='Model Settings'!$E$30)*'Model Settings'!$F$30+(N('Player Data'!AG59)&gt;='Model Settings'!$E$31)*'Model Settings'!$F$31)/('Model Settings'!$F$25+'Model Settings'!$F$26+'Model Settings'!$F$27+'Model Settings'!$F$28+'Model Settings'!$F$29+'Model Settings'!$F$30+'Model Settings'!$F$31),0)</f>
        <v>29</v>
      </c>
      <c r="E59" s="50" t="n">
        <f aca="false">ROUND(100*((N('Player Data'!Z59)&gt;='Model Settings'!$E$32)*'Model Settings'!$F$32+(N('Player Data'!BN59)&gt;='Model Settings'!$E$33)*'Model Settings'!$F$33+(N('Player Data'!BO59)&gt;='Model Settings'!$E$34)*'Model Settings'!$F$34+(N('Player Data'!BP59)&gt;='Model Settings'!$E$35)*'Model Settings'!$F$35+('Player Data'!BR59='Model Settings'!$E$36)*'Model Settings'!$F$36+(N('Player Data'!AW59)&gt;='Model Settings'!$E$37)*'Model Settings'!$F$37+(N('Player Data'!AF59)&lt;='Model Settings'!$E$38)*'Model Settings'!$F$38)/('Model Settings'!$F$32+'Model Settings'!$F$33+'Model Settings'!$F$34+'Model Settings'!$F$35+'Model Settings'!$F$36+'Model Settings'!$F$37+'Model Settings'!$F$38),0)</f>
        <v>14</v>
      </c>
      <c r="F59" s="50" t="n">
        <f aca="false">ROUND(100*((N('Player Data'!K59)&gt;='Model Settings'!$E$39)*'Model Settings'!$F$39+(N('Player Data'!P59)&gt;='Model Settings'!$E$40)*'Model Settings'!$F$40+(N('Player Data'!M59)&gt;='Model Settings'!$E$41)*'Model Settings'!$F$41+(N('Player Data'!AU59)&gt;='Model Settings'!$E$42)*'Model Settings'!$F$42+(N('Player Data'!CL59)&gt;='Model Settings'!$E$43)*'Model Settings'!$F$43+(N('Player Data'!Q59)&gt;='Model Settings'!$E$44)*'Model Settings'!$F$44)/('Model Settings'!$F$39+'Model Settings'!$F$40+'Model Settings'!$F$41+'Model Settings'!$F$42+'Model Settings'!$F$43+'Model Settings'!$F$44),0)</f>
        <v>50</v>
      </c>
      <c r="G59" s="50" t="n">
        <f aca="false">ROUND(100*((N('Player Data'!BE59)&gt;='Model Settings'!$E$45)*'Model Settings'!$F$45+(N('Player Data'!BH59)&gt;='Model Settings'!$E$46)*'Model Settings'!$F$46+(N('Player Data'!U59)&gt;='Model Settings'!$E$47)*'Model Settings'!$F$47+(N('Player Data'!BN59)&gt;='Model Settings'!$E$48)*'Model Settings'!$F$48+(N('Player Data'!AX59)&gt;='Model Settings'!$E$49)*'Model Settings'!$F$49+(N('Player Data'!BL59)&gt;='Model Settings'!$E$50)*'Model Settings'!$F$50+(N('Player Data'!BI59)&gt;='Model Settings'!$E$51)*'Model Settings'!$F$51)/('Model Settings'!$F$45+'Model Settings'!$F$46+'Model Settings'!$F$47+'Model Settings'!$F$48+'Model Settings'!$F$49+'Model Settings'!$F$50+'Model Settings'!$F$51),0)</f>
        <v>14</v>
      </c>
      <c r="H59" s="34" t="str">
        <f aca="false">IF(AND(B59&lt;'Model Settings'!$E$66,E59&lt;'Model Settings'!$E$68),"Non-problem",IF(E59&gt;='Model Settings'!$E$68,"Financially vulnerable",IF(OR(N('Player Data'!BY59)&gt;=1,N('Player Data'!BX59)&gt;=2,N('Player Data'!BW59)&gt;=3),"Emotionally vulnerable","At-risk")))</f>
        <v>At-risk</v>
      </c>
      <c r="I59" s="34" t="str">
        <f aca="false">IF(OR(N('Player Data'!BY59)&gt;=1,'Player Data'!BZ59="Yes"),"Alert","None")</f>
        <v>None</v>
      </c>
      <c r="J59" s="34" t="str">
        <f aca="false">IF(OR(B59&gt;='Model Settings'!$E$67,'Player Data'!BM59="Yes",I59="Alert"),"Suppress",IF(AND(B59&gt;='Model Settings'!$E$66,'Player Data'!G59="Yes"),"Review VIP","Allow"))</f>
        <v>Allow</v>
      </c>
      <c r="K59" s="50" t="n">
        <f aca="false">ROUND(100*((N('Player Data'!CH59)&gt;='Model Settings'!$E$52)*'Model Settings'!$F$52+(N('Player Data'!CI59)&gt;='Model Settings'!$E$53)*'Model Settings'!$F$53+(N('Player Data'!R59)&gt;='Model Settings'!$E$54)*'Model Settings'!$F$54+(N('Player Data'!Y59)&gt;='Model Settings'!$E$55)*'Model Settings'!$F$55+(N('Player Data'!AS59)&gt;='Model Settings'!$E$56)*'Model Settings'!$F$56)/('Model Settings'!$F$52+'Model Settings'!$F$53+'Model Settings'!$F$54+'Model Settings'!$F$55+'Model Settings'!$F$56),0)</f>
        <v>40</v>
      </c>
      <c r="L59" s="34" t="str">
        <f aca="false">IF('Player Data'!D59="Spain",ROUND(100*((N('Player Data'!H59)&gt;='Model Settings'!$E$57)*'Model Settings'!$F$57+(N('Player Data'!AI59)&gt;='Model Settings'!$E$58)*'Model Settings'!$F$58+(N('Player Data'!AL59)&gt;='Model Settings'!$E$59)*'Model Settings'!$F$59+(N('Player Data'!M59)&gt;='Model Settings'!$E$60)*'Model Settings'!$F$60+(N('Player Data'!X59)&lt;='Model Settings'!$E$61)*'Model Settings'!$F$61+(N('Player Data'!Y59)&gt;='Model Settings'!$E$62)*'Model Settings'!$F$62+(N('Player Data'!P59)&gt;='Model Settings'!$E$63)*'Model Settings'!$F$63)/('Model Settings'!$F$57+'Model Settings'!$F$58+'Model Settings'!$F$59+'Model Settings'!$F$60+'Model Settings'!$F$61+'Model Settings'!$F$62+'Model Settings'!$F$63),0),"n/a")</f>
        <v>n/a</v>
      </c>
      <c r="M59" s="34" t="str">
        <f aca="false">IF('Player Data'!CA59="None","No contact yet",IF('Player Data'!CA59="Improved","Working",IF('Player Data'!CA59="No change","Review approach","Escalate")))</f>
        <v>No contact yet</v>
      </c>
      <c r="N59" s="49" t="str">
        <f aca="false">IF(OR('Player Data'!BM59="Yes",I59="Alert"),"High",IF(B59&gt;='Model Settings'!$E$67,"High",IF(OR(B59&gt;='Model Settings'!$E$66,D59&gt;='Model Settings'!$E$68,F59&gt;='Model Settings'!$E$68,K59&gt;='Model Settings'!$E$68),"Medium","Low")))</f>
        <v>Medium</v>
      </c>
      <c r="O59" s="34" t="str">
        <f aca="false">IF(N59="High","Contact player + review within 48h; stop marketing",IF(N59="Medium","Safer gambling message; monitor weekly","No action; routine monitoring"))</f>
        <v>Safer gambling message; monitor weekly</v>
      </c>
      <c r="P59" s="34" t="n">
        <f aca="false">IF(OR(N59="High",AND('Model Settings'!$E$70="High+Medium",N59="Medium")),1,0)</f>
        <v>0</v>
      </c>
      <c r="Q59" s="34" t="n">
        <f aca="false">'Player Data'!CM59</f>
        <v>1</v>
      </c>
    </row>
    <row r="60" customFormat="false" ht="15" hidden="false" customHeight="false" outlineLevel="0" collapsed="false">
      <c r="A60" s="49" t="str">
        <f aca="false">'Player Data'!A60</f>
        <v>P055</v>
      </c>
      <c r="B60" s="50" t="n">
        <f aca="false">ROUND(100*((N('Player Data'!U60)&gt;='Model Settings'!$E$5)*'Model Settings'!$F$5+(N('Player Data'!AT60)&gt;='Model Settings'!$E$6)*'Model Settings'!$F$6+(N('Player Data'!BI60)&gt;='Model Settings'!$E$7)*'Model Settings'!$F$7+(N('Player Data'!AL60)&gt;='Model Settings'!$E$8)*'Model Settings'!$F$8+(N('Player Data'!AH60)&gt;='Model Settings'!$E$9)*'Model Settings'!$F$9+(N('Player Data'!B60)&lt;='Model Settings'!$E$10)*'Model Settings'!$F$10+(N('Player Data'!M60)&gt;='Model Settings'!$E$11)*'Model Settings'!$F$11+(N('Player Data'!J60)&lt;='Model Settings'!$E$12)*'Model Settings'!$F$12+(N('Player Data'!V60)&gt;='Model Settings'!$E$13)*'Model Settings'!$F$13+(N('Player Data'!W60)&gt;='Model Settings'!$E$14)*'Model Settings'!$F$14+(N('Player Data'!AE60)&gt;='Model Settings'!$E$15)*'Model Settings'!$F$15+(N('Player Data'!BF60)&gt;='Model Settings'!$E$16)*'Model Settings'!$F$16+(N('Player Data'!AX60)&gt;='Model Settings'!$E$17)*'Model Settings'!$F$17+(N('Player Data'!AP60)&gt;='Model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60" s="34" t="str">
        <f aca="false">IF('Player Data'!E60&lt;='Model Settings'!$E$69,ROUND(100*((N('Player Data'!H60)&gt;='Model Settings'!$E$19)*'Model Settings'!$F$19+(N('Player Data'!S60)&gt;='Model Settings'!$E$20)*'Model Settings'!$F$20+(N('Player Data'!AH60)&gt;='Model Settings'!$E$21)*'Model Settings'!$F$21+(N('Player Data'!AX60)&gt;='Model Settings'!$E$22)*'Model Settings'!$F$22+(N('Player Data'!Y60)&gt;='Model Settings'!$E$23)*'Model Settings'!$F$23+(N('Player Data'!AM60)&gt;='Model Settings'!$E$24)*'Model Settings'!$F$24)/('Model Settings'!$F$19+'Model Settings'!$F$20+'Model Settings'!$F$21+'Model Settings'!$F$22+'Model Settings'!$F$23+'Model Settings'!$F$24),0),"n/a")</f>
        <v>n/a</v>
      </c>
      <c r="D60" s="50" t="n">
        <f aca="false">ROUND(100*((N('Player Data'!U60)&gt;='Model Settings'!$E$25)*'Model Settings'!$F$25+(N('Player Data'!V60)&gt;='Model Settings'!$E$26)*'Model Settings'!$F$26+(N('Player Data'!W60)&gt;='Model Settings'!$E$27)*'Model Settings'!$F$27+(N('Player Data'!AT60)&gt;='Model Settings'!$E$28)*'Model Settings'!$F$28+(N('Player Data'!AE60)&gt;='Model Settings'!$E$29)*'Model Settings'!$F$29+(N('Player Data'!AO60)&gt;='Model Settings'!$E$30)*'Model Settings'!$F$30+(N('Player Data'!AG60)&gt;='Model Settings'!$E$31)*'Model Settings'!$F$31)/('Model Settings'!$F$25+'Model Settings'!$F$26+'Model Settings'!$F$27+'Model Settings'!$F$28+'Model Settings'!$F$29+'Model Settings'!$F$30+'Model Settings'!$F$31),0)</f>
        <v>14</v>
      </c>
      <c r="E60" s="50" t="n">
        <f aca="false">ROUND(100*((N('Player Data'!Z60)&gt;='Model Settings'!$E$32)*'Model Settings'!$F$32+(N('Player Data'!BN60)&gt;='Model Settings'!$E$33)*'Model Settings'!$F$33+(N('Player Data'!BO60)&gt;='Model Settings'!$E$34)*'Model Settings'!$F$34+(N('Player Data'!BP60)&gt;='Model Settings'!$E$35)*'Model Settings'!$F$35+('Player Data'!BR60='Model Settings'!$E$36)*'Model Settings'!$F$36+(N('Player Data'!AW60)&gt;='Model Settings'!$E$37)*'Model Settings'!$F$37+(N('Player Data'!AF60)&lt;='Model Settings'!$E$38)*'Model Settings'!$F$38)/('Model Settings'!$F$32+'Model Settings'!$F$33+'Model Settings'!$F$34+'Model Settings'!$F$35+'Model Settings'!$F$36+'Model Settings'!$F$37+'Model Settings'!$F$38),0)</f>
        <v>14</v>
      </c>
      <c r="F60" s="50" t="n">
        <f aca="false">ROUND(100*((N('Player Data'!K60)&gt;='Model Settings'!$E$39)*'Model Settings'!$F$39+(N('Player Data'!P60)&gt;='Model Settings'!$E$40)*'Model Settings'!$F$40+(N('Player Data'!M60)&gt;='Model Settings'!$E$41)*'Model Settings'!$F$41+(N('Player Data'!AU60)&gt;='Model Settings'!$E$42)*'Model Settings'!$F$42+(N('Player Data'!CL60)&gt;='Model Settings'!$E$43)*'Model Settings'!$F$43+(N('Player Data'!Q60)&gt;='Model Settings'!$E$44)*'Model Settings'!$F$44)/('Model Settings'!$F$39+'Model Settings'!$F$40+'Model Settings'!$F$41+'Model Settings'!$F$42+'Model Settings'!$F$43+'Model Settings'!$F$44),0)</f>
        <v>0</v>
      </c>
      <c r="G60" s="50" t="n">
        <f aca="false">ROUND(100*((N('Player Data'!BE60)&gt;='Model Settings'!$E$45)*'Model Settings'!$F$45+(N('Player Data'!BH60)&gt;='Model Settings'!$E$46)*'Model Settings'!$F$46+(N('Player Data'!U60)&gt;='Model Settings'!$E$47)*'Model Settings'!$F$47+(N('Player Data'!BN60)&gt;='Model Settings'!$E$48)*'Model Settings'!$F$48+(N('Player Data'!AX60)&gt;='Model Settings'!$E$49)*'Model Settings'!$F$49+(N('Player Data'!BL60)&gt;='Model Settings'!$E$50)*'Model Settings'!$F$50+(N('Player Data'!BI60)&gt;='Model Settings'!$E$51)*'Model Settings'!$F$51)/('Model Settings'!$F$45+'Model Settings'!$F$46+'Model Settings'!$F$47+'Model Settings'!$F$48+'Model Settings'!$F$49+'Model Settings'!$F$50+'Model Settings'!$F$51),0)</f>
        <v>0</v>
      </c>
      <c r="H60" s="34" t="str">
        <f aca="false">IF(AND(B60&lt;'Model Settings'!$E$66,E60&lt;'Model Settings'!$E$68),"Non-problem",IF(E60&gt;='Model Settings'!$E$68,"Financially vulnerable",IF(OR(N('Player Data'!BY60)&gt;=1,N('Player Data'!BX60)&gt;=2,N('Player Data'!BW60)&gt;=3),"Emotionally vulnerable","At-risk")))</f>
        <v>Non-problem</v>
      </c>
      <c r="I60" s="34" t="str">
        <f aca="false">IF(OR(N('Player Data'!BY60)&gt;=1,'Player Data'!BZ60="Yes"),"Alert","None")</f>
        <v>None</v>
      </c>
      <c r="J60" s="34" t="str">
        <f aca="false">IF(OR(B60&gt;='Model Settings'!$E$67,'Player Data'!BM60="Yes",I60="Alert"),"Suppress",IF(AND(B60&gt;='Model Settings'!$E$66,'Player Data'!G60="Yes"),"Review VIP","Allow"))</f>
        <v>Allow</v>
      </c>
      <c r="K60" s="50" t="n">
        <f aca="false">ROUND(100*((N('Player Data'!CH60)&gt;='Model Settings'!$E$52)*'Model Settings'!$F$52+(N('Player Data'!CI60)&gt;='Model Settings'!$E$53)*'Model Settings'!$F$53+(N('Player Data'!R60)&gt;='Model Settings'!$E$54)*'Model Settings'!$F$54+(N('Player Data'!Y60)&gt;='Model Settings'!$E$55)*'Model Settings'!$F$55+(N('Player Data'!AS60)&gt;='Model Settings'!$E$56)*'Model Settings'!$F$56)/('Model Settings'!$F$52+'Model Settings'!$F$53+'Model Settings'!$F$54+'Model Settings'!$F$55+'Model Settings'!$F$56),0)</f>
        <v>40</v>
      </c>
      <c r="L60" s="34" t="n">
        <f aca="false">IF('Player Data'!D60="Spain",ROUND(100*((N('Player Data'!H60)&gt;='Model Settings'!$E$57)*'Model Settings'!$F$57+(N('Player Data'!AI60)&gt;='Model Settings'!$E$58)*'Model Settings'!$F$58+(N('Player Data'!AL60)&gt;='Model Settings'!$E$59)*'Model Settings'!$F$59+(N('Player Data'!M60)&gt;='Model Settings'!$E$60)*'Model Settings'!$F$60+(N('Player Data'!X60)&lt;='Model Settings'!$E$61)*'Model Settings'!$F$61+(N('Player Data'!Y60)&gt;='Model Settings'!$E$62)*'Model Settings'!$F$62+(N('Player Data'!P60)&gt;='Model Settings'!$E$63)*'Model Settings'!$F$63)/('Model Settings'!$F$57+'Model Settings'!$F$58+'Model Settings'!$F$59+'Model Settings'!$F$60+'Model Settings'!$F$61+'Model Settings'!$F$62+'Model Settings'!$F$63),0),"n/a")</f>
        <v>0</v>
      </c>
      <c r="M60" s="34" t="str">
        <f aca="false">IF('Player Data'!CA60="None","No contact yet",IF('Player Data'!CA60="Improved","Working",IF('Player Data'!CA60="No change","Review approach","Escalate")))</f>
        <v>No contact yet</v>
      </c>
      <c r="N60" s="49" t="str">
        <f aca="false">IF(OR('Player Data'!BM60="Yes",I60="Alert"),"High",IF(B60&gt;='Model Settings'!$E$67,"High",IF(OR(B60&gt;='Model Settings'!$E$66,D60&gt;='Model Settings'!$E$68,F60&gt;='Model Settings'!$E$68,K60&gt;='Model Settings'!$E$68),"Medium","Low")))</f>
        <v>Low</v>
      </c>
      <c r="O60" s="34" t="str">
        <f aca="false">IF(N60="High","Contact player + review within 48h; stop marketing",IF(N60="Medium","Safer gambling message; monitor weekly","No action; routine monitoring"))</f>
        <v>No action; routine monitoring</v>
      </c>
      <c r="P60" s="34" t="n">
        <f aca="false">IF(OR(N60="High",AND('Model Settings'!$E$70="High+Medium",N60="Medium")),1,0)</f>
        <v>0</v>
      </c>
      <c r="Q60" s="34" t="n">
        <f aca="false">'Player Data'!CM60</f>
        <v>0</v>
      </c>
    </row>
    <row r="61" customFormat="false" ht="15" hidden="false" customHeight="false" outlineLevel="0" collapsed="false">
      <c r="A61" s="49" t="str">
        <f aca="false">'Player Data'!A61</f>
        <v>P056</v>
      </c>
      <c r="B61" s="50" t="n">
        <f aca="false">ROUND(100*((N('Player Data'!U61)&gt;='Model Settings'!$E$5)*'Model Settings'!$F$5+(N('Player Data'!AT61)&gt;='Model Settings'!$E$6)*'Model Settings'!$F$6+(N('Player Data'!BI61)&gt;='Model Settings'!$E$7)*'Model Settings'!$F$7+(N('Player Data'!AL61)&gt;='Model Settings'!$E$8)*'Model Settings'!$F$8+(N('Player Data'!AH61)&gt;='Model Settings'!$E$9)*'Model Settings'!$F$9+(N('Player Data'!B61)&lt;='Model Settings'!$E$10)*'Model Settings'!$F$10+(N('Player Data'!M61)&gt;='Model Settings'!$E$11)*'Model Settings'!$F$11+(N('Player Data'!J61)&lt;='Model Settings'!$E$12)*'Model Settings'!$F$12+(N('Player Data'!V61)&gt;='Model Settings'!$E$13)*'Model Settings'!$F$13+(N('Player Data'!W61)&gt;='Model Settings'!$E$14)*'Model Settings'!$F$14+(N('Player Data'!AE61)&gt;='Model Settings'!$E$15)*'Model Settings'!$F$15+(N('Player Data'!BF61)&gt;='Model Settings'!$E$16)*'Model Settings'!$F$16+(N('Player Data'!AX61)&gt;='Model Settings'!$E$17)*'Model Settings'!$F$17+(N('Player Data'!AP61)&gt;='Model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52</v>
      </c>
      <c r="C61" s="34" t="str">
        <f aca="false">IF('Player Data'!E61&lt;='Model Settings'!$E$69,ROUND(100*((N('Player Data'!H61)&gt;='Model Settings'!$E$19)*'Model Settings'!$F$19+(N('Player Data'!S61)&gt;='Model Settings'!$E$20)*'Model Settings'!$F$20+(N('Player Data'!AH61)&gt;='Model Settings'!$E$21)*'Model Settings'!$F$21+(N('Player Data'!AX61)&gt;='Model Settings'!$E$22)*'Model Settings'!$F$22+(N('Player Data'!Y61)&gt;='Model Settings'!$E$23)*'Model Settings'!$F$23+(N('Player Data'!AM61)&gt;='Model Settings'!$E$24)*'Model Settings'!$F$24)/('Model Settings'!$F$19+'Model Settings'!$F$20+'Model Settings'!$F$21+'Model Settings'!$F$22+'Model Settings'!$F$23+'Model Settings'!$F$24),0),"n/a")</f>
        <v>n/a</v>
      </c>
      <c r="D61" s="50" t="n">
        <f aca="false">ROUND(100*((N('Player Data'!U61)&gt;='Model Settings'!$E$25)*'Model Settings'!$F$25+(N('Player Data'!V61)&gt;='Model Settings'!$E$26)*'Model Settings'!$F$26+(N('Player Data'!W61)&gt;='Model Settings'!$E$27)*'Model Settings'!$F$27+(N('Player Data'!AT61)&gt;='Model Settings'!$E$28)*'Model Settings'!$F$28+(N('Player Data'!AE61)&gt;='Model Settings'!$E$29)*'Model Settings'!$F$29+(N('Player Data'!AO61)&gt;='Model Settings'!$E$30)*'Model Settings'!$F$30+(N('Player Data'!AG61)&gt;='Model Settings'!$E$31)*'Model Settings'!$F$31)/('Model Settings'!$F$25+'Model Settings'!$F$26+'Model Settings'!$F$27+'Model Settings'!$F$28+'Model Settings'!$F$29+'Model Settings'!$F$30+'Model Settings'!$F$31),0)</f>
        <v>57</v>
      </c>
      <c r="E61" s="50" t="n">
        <f aca="false">ROUND(100*((N('Player Data'!Z61)&gt;='Model Settings'!$E$32)*'Model Settings'!$F$32+(N('Player Data'!BN61)&gt;='Model Settings'!$E$33)*'Model Settings'!$F$33+(N('Player Data'!BO61)&gt;='Model Settings'!$E$34)*'Model Settings'!$F$34+(N('Player Data'!BP61)&gt;='Model Settings'!$E$35)*'Model Settings'!$F$35+('Player Data'!BR61='Model Settings'!$E$36)*'Model Settings'!$F$36+(N('Player Data'!AW61)&gt;='Model Settings'!$E$37)*'Model Settings'!$F$37+(N('Player Data'!AF61)&lt;='Model Settings'!$E$38)*'Model Settings'!$F$38)/('Model Settings'!$F$32+'Model Settings'!$F$33+'Model Settings'!$F$34+'Model Settings'!$F$35+'Model Settings'!$F$36+'Model Settings'!$F$37+'Model Settings'!$F$38),0)</f>
        <v>29</v>
      </c>
      <c r="F61" s="50" t="n">
        <f aca="false">ROUND(100*((N('Player Data'!K61)&gt;='Model Settings'!$E$39)*'Model Settings'!$F$39+(N('Player Data'!P61)&gt;='Model Settings'!$E$40)*'Model Settings'!$F$40+(N('Player Data'!M61)&gt;='Model Settings'!$E$41)*'Model Settings'!$F$41+(N('Player Data'!AU61)&gt;='Model Settings'!$E$42)*'Model Settings'!$F$42+(N('Player Data'!CL61)&gt;='Model Settings'!$E$43)*'Model Settings'!$F$43+(N('Player Data'!Q61)&gt;='Model Settings'!$E$44)*'Model Settings'!$F$44)/('Model Settings'!$F$39+'Model Settings'!$F$40+'Model Settings'!$F$41+'Model Settings'!$F$42+'Model Settings'!$F$43+'Model Settings'!$F$44),0)</f>
        <v>50</v>
      </c>
      <c r="G61" s="50" t="n">
        <f aca="false">ROUND(100*((N('Player Data'!BE61)&gt;='Model Settings'!$E$45)*'Model Settings'!$F$45+(N('Player Data'!BH61)&gt;='Model Settings'!$E$46)*'Model Settings'!$F$46+(N('Player Data'!U61)&gt;='Model Settings'!$E$47)*'Model Settings'!$F$47+(N('Player Data'!BN61)&gt;='Model Settings'!$E$48)*'Model Settings'!$F$48+(N('Player Data'!AX61)&gt;='Model Settings'!$E$49)*'Model Settings'!$F$49+(N('Player Data'!BL61)&gt;='Model Settings'!$E$50)*'Model Settings'!$F$50+(N('Player Data'!BI61)&gt;='Model Settings'!$E$51)*'Model Settings'!$F$51)/('Model Settings'!$F$45+'Model Settings'!$F$46+'Model Settings'!$F$47+'Model Settings'!$F$48+'Model Settings'!$F$49+'Model Settings'!$F$50+'Model Settings'!$F$51),0)</f>
        <v>29</v>
      </c>
      <c r="H61" s="34" t="str">
        <f aca="false">IF(AND(B61&lt;'Model Settings'!$E$66,E61&lt;'Model Settings'!$E$68),"Non-problem",IF(E61&gt;='Model Settings'!$E$68,"Financially vulnerable",IF(OR(N('Player Data'!BY61)&gt;=1,N('Player Data'!BX61)&gt;=2,N('Player Data'!BW61)&gt;=3),"Emotionally vulnerable","At-risk")))</f>
        <v>Emotionally vulnerable</v>
      </c>
      <c r="I61" s="34" t="str">
        <f aca="false">IF(OR(N('Player Data'!BY61)&gt;=1,'Player Data'!BZ61="Yes"),"Alert","None")</f>
        <v>None</v>
      </c>
      <c r="J61" s="34" t="str">
        <f aca="false">IF(OR(B61&gt;='Model Settings'!$E$67,'Player Data'!BM61="Yes",I61="Alert"),"Suppress",IF(AND(B61&gt;='Model Settings'!$E$66,'Player Data'!G61="Yes"),"Review VIP","Allow"))</f>
        <v>Suppress</v>
      </c>
      <c r="K61" s="50" t="n">
        <f aca="false">ROUND(100*((N('Player Data'!CH61)&gt;='Model Settings'!$E$52)*'Model Settings'!$F$52+(N('Player Data'!CI61)&gt;='Model Settings'!$E$53)*'Model Settings'!$F$53+(N('Player Data'!R61)&gt;='Model Settings'!$E$54)*'Model Settings'!$F$54+(N('Player Data'!Y61)&gt;='Model Settings'!$E$55)*'Model Settings'!$F$55+(N('Player Data'!AS61)&gt;='Model Settings'!$E$56)*'Model Settings'!$F$56)/('Model Settings'!$F$52+'Model Settings'!$F$53+'Model Settings'!$F$54+'Model Settings'!$F$55+'Model Settings'!$F$56),0)</f>
        <v>40</v>
      </c>
      <c r="L61" s="34" t="str">
        <f aca="false">IF('Player Data'!D61="Spain",ROUND(100*((N('Player Data'!H61)&gt;='Model Settings'!$E$57)*'Model Settings'!$F$57+(N('Player Data'!AI61)&gt;='Model Settings'!$E$58)*'Model Settings'!$F$58+(N('Player Data'!AL61)&gt;='Model Settings'!$E$59)*'Model Settings'!$F$59+(N('Player Data'!M61)&gt;='Model Settings'!$E$60)*'Model Settings'!$F$60+(N('Player Data'!X61)&lt;='Model Settings'!$E$61)*'Model Settings'!$F$61+(N('Player Data'!Y61)&gt;='Model Settings'!$E$62)*'Model Settings'!$F$62+(N('Player Data'!P61)&gt;='Model Settings'!$E$63)*'Model Settings'!$F$63)/('Model Settings'!$F$57+'Model Settings'!$F$58+'Model Settings'!$F$59+'Model Settings'!$F$60+'Model Settings'!$F$61+'Model Settings'!$F$62+'Model Settings'!$F$63),0),"n/a")</f>
        <v>n/a</v>
      </c>
      <c r="M61" s="34" t="str">
        <f aca="false">IF('Player Data'!CA61="None","No contact yet",IF('Player Data'!CA61="Improved","Working",IF('Player Data'!CA61="No change","Review approach","Escalate")))</f>
        <v>Working</v>
      </c>
      <c r="N61" s="49" t="str">
        <f aca="false">IF(OR('Player Data'!BM61="Yes",I61="Alert"),"High",IF(B61&gt;='Model Settings'!$E$67,"High",IF(OR(B61&gt;='Model Settings'!$E$66,D61&gt;='Model Settings'!$E$68,F61&gt;='Model Settings'!$E$68,K61&gt;='Model Settings'!$E$68),"Medium","Low")))</f>
        <v>High</v>
      </c>
      <c r="O61" s="34" t="str">
        <f aca="false">IF(N61="High","Contact player + review within 48h; stop marketing",IF(N61="Medium","Safer gambling message; monitor weekly","No action; routine monitoring"))</f>
        <v>Contact player + review within 48h; stop marketing</v>
      </c>
      <c r="P61" s="34" t="n">
        <f aca="false">IF(OR(N61="High",AND('Model Settings'!$E$70="High+Medium",N61="Medium")),1,0)</f>
        <v>1</v>
      </c>
      <c r="Q61" s="34" t="n">
        <f aca="false">'Player Data'!CM61</f>
        <v>1</v>
      </c>
    </row>
    <row r="62" customFormat="false" ht="15" hidden="false" customHeight="false" outlineLevel="0" collapsed="false">
      <c r="A62" s="49" t="str">
        <f aca="false">'Player Data'!A62</f>
        <v>P057</v>
      </c>
      <c r="B62" s="50" t="n">
        <f aca="false">ROUND(100*((N('Player Data'!U62)&gt;='Model Settings'!$E$5)*'Model Settings'!$F$5+(N('Player Data'!AT62)&gt;='Model Settings'!$E$6)*'Model Settings'!$F$6+(N('Player Data'!BI62)&gt;='Model Settings'!$E$7)*'Model Settings'!$F$7+(N('Player Data'!AL62)&gt;='Model Settings'!$E$8)*'Model Settings'!$F$8+(N('Player Data'!AH62)&gt;='Model Settings'!$E$9)*'Model Settings'!$F$9+(N('Player Data'!B62)&lt;='Model Settings'!$E$10)*'Model Settings'!$F$10+(N('Player Data'!M62)&gt;='Model Settings'!$E$11)*'Model Settings'!$F$11+(N('Player Data'!J62)&lt;='Model Settings'!$E$12)*'Model Settings'!$F$12+(N('Player Data'!V62)&gt;='Model Settings'!$E$13)*'Model Settings'!$F$13+(N('Player Data'!W62)&gt;='Model Settings'!$E$14)*'Model Settings'!$F$14+(N('Player Data'!AE62)&gt;='Model Settings'!$E$15)*'Model Settings'!$F$15+(N('Player Data'!BF62)&gt;='Model Settings'!$E$16)*'Model Settings'!$F$16+(N('Player Data'!AX62)&gt;='Model Settings'!$E$17)*'Model Settings'!$F$17+(N('Player Data'!AP62)&gt;='Model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62" s="34" t="str">
        <f aca="false">IF('Player Data'!E62&lt;='Model Settings'!$E$69,ROUND(100*((N('Player Data'!H62)&gt;='Model Settings'!$E$19)*'Model Settings'!$F$19+(N('Player Data'!S62)&gt;='Model Settings'!$E$20)*'Model Settings'!$F$20+(N('Player Data'!AH62)&gt;='Model Settings'!$E$21)*'Model Settings'!$F$21+(N('Player Data'!AX62)&gt;='Model Settings'!$E$22)*'Model Settings'!$F$22+(N('Player Data'!Y62)&gt;='Model Settings'!$E$23)*'Model Settings'!$F$23+(N('Player Data'!AM62)&gt;='Model Settings'!$E$24)*'Model Settings'!$F$24)/('Model Settings'!$F$19+'Model Settings'!$F$20+'Model Settings'!$F$21+'Model Settings'!$F$22+'Model Settings'!$F$23+'Model Settings'!$F$24),0),"n/a")</f>
        <v>n/a</v>
      </c>
      <c r="D62" s="50" t="n">
        <f aca="false">ROUND(100*((N('Player Data'!U62)&gt;='Model Settings'!$E$25)*'Model Settings'!$F$25+(N('Player Data'!V62)&gt;='Model Settings'!$E$26)*'Model Settings'!$F$26+(N('Player Data'!W62)&gt;='Model Settings'!$E$27)*'Model Settings'!$F$27+(N('Player Data'!AT62)&gt;='Model Settings'!$E$28)*'Model Settings'!$F$28+(N('Player Data'!AE62)&gt;='Model Settings'!$E$29)*'Model Settings'!$F$29+(N('Player Data'!AO62)&gt;='Model Settings'!$E$30)*'Model Settings'!$F$30+(N('Player Data'!AG62)&gt;='Model Settings'!$E$31)*'Model Settings'!$F$31)/('Model Settings'!$F$25+'Model Settings'!$F$26+'Model Settings'!$F$27+'Model Settings'!$F$28+'Model Settings'!$F$29+'Model Settings'!$F$30+'Model Settings'!$F$31),0)</f>
        <v>14</v>
      </c>
      <c r="E62" s="50" t="n">
        <f aca="false">ROUND(100*((N('Player Data'!Z62)&gt;='Model Settings'!$E$32)*'Model Settings'!$F$32+(N('Player Data'!BN62)&gt;='Model Settings'!$E$33)*'Model Settings'!$F$33+(N('Player Data'!BO62)&gt;='Model Settings'!$E$34)*'Model Settings'!$F$34+(N('Player Data'!BP62)&gt;='Model Settings'!$E$35)*'Model Settings'!$F$35+('Player Data'!BR62='Model Settings'!$E$36)*'Model Settings'!$F$36+(N('Player Data'!AW62)&gt;='Model Settings'!$E$37)*'Model Settings'!$F$37+(N('Player Data'!AF62)&lt;='Model Settings'!$E$38)*'Model Settings'!$F$38)/('Model Settings'!$F$32+'Model Settings'!$F$33+'Model Settings'!$F$34+'Model Settings'!$F$35+'Model Settings'!$F$36+'Model Settings'!$F$37+'Model Settings'!$F$38),0)</f>
        <v>0</v>
      </c>
      <c r="F62" s="50" t="n">
        <f aca="false">ROUND(100*((N('Player Data'!K62)&gt;='Model Settings'!$E$39)*'Model Settings'!$F$39+(N('Player Data'!P62)&gt;='Model Settings'!$E$40)*'Model Settings'!$F$40+(N('Player Data'!M62)&gt;='Model Settings'!$E$41)*'Model Settings'!$F$41+(N('Player Data'!AU62)&gt;='Model Settings'!$E$42)*'Model Settings'!$F$42+(N('Player Data'!CL62)&gt;='Model Settings'!$E$43)*'Model Settings'!$F$43+(N('Player Data'!Q62)&gt;='Model Settings'!$E$44)*'Model Settings'!$F$44)/('Model Settings'!$F$39+'Model Settings'!$F$40+'Model Settings'!$F$41+'Model Settings'!$F$42+'Model Settings'!$F$43+'Model Settings'!$F$44),0)</f>
        <v>17</v>
      </c>
      <c r="G62" s="50" t="n">
        <f aca="false">ROUND(100*((N('Player Data'!BE62)&gt;='Model Settings'!$E$45)*'Model Settings'!$F$45+(N('Player Data'!BH62)&gt;='Model Settings'!$E$46)*'Model Settings'!$F$46+(N('Player Data'!U62)&gt;='Model Settings'!$E$47)*'Model Settings'!$F$47+(N('Player Data'!BN62)&gt;='Model Settings'!$E$48)*'Model Settings'!$F$48+(N('Player Data'!AX62)&gt;='Model Settings'!$E$49)*'Model Settings'!$F$49+(N('Player Data'!BL62)&gt;='Model Settings'!$E$50)*'Model Settings'!$F$50+(N('Player Data'!BI62)&gt;='Model Settings'!$E$51)*'Model Settings'!$F$51)/('Model Settings'!$F$45+'Model Settings'!$F$46+'Model Settings'!$F$47+'Model Settings'!$F$48+'Model Settings'!$F$49+'Model Settings'!$F$50+'Model Settings'!$F$51),0)</f>
        <v>0</v>
      </c>
      <c r="H62" s="34" t="str">
        <f aca="false">IF(AND(B62&lt;'Model Settings'!$E$66,E62&lt;'Model Settings'!$E$68),"Non-problem",IF(E62&gt;='Model Settings'!$E$68,"Financially vulnerable",IF(OR(N('Player Data'!BY62)&gt;=1,N('Player Data'!BX62)&gt;=2,N('Player Data'!BW62)&gt;=3),"Emotionally vulnerable","At-risk")))</f>
        <v>Non-problem</v>
      </c>
      <c r="I62" s="34" t="str">
        <f aca="false">IF(OR(N('Player Data'!BY62)&gt;=1,'Player Data'!BZ62="Yes"),"Alert","None")</f>
        <v>None</v>
      </c>
      <c r="J62" s="34" t="str">
        <f aca="false">IF(OR(B62&gt;='Model Settings'!$E$67,'Player Data'!BM62="Yes",I62="Alert"),"Suppress",IF(AND(B62&gt;='Model Settings'!$E$66,'Player Data'!G62="Yes"),"Review VIP","Allow"))</f>
        <v>Allow</v>
      </c>
      <c r="K62" s="50" t="n">
        <f aca="false">ROUND(100*((N('Player Data'!CH62)&gt;='Model Settings'!$E$52)*'Model Settings'!$F$52+(N('Player Data'!CI62)&gt;='Model Settings'!$E$53)*'Model Settings'!$F$53+(N('Player Data'!R62)&gt;='Model Settings'!$E$54)*'Model Settings'!$F$54+(N('Player Data'!Y62)&gt;='Model Settings'!$E$55)*'Model Settings'!$F$55+(N('Player Data'!AS62)&gt;='Model Settings'!$E$56)*'Model Settings'!$F$56)/('Model Settings'!$F$52+'Model Settings'!$F$53+'Model Settings'!$F$54+'Model Settings'!$F$55+'Model Settings'!$F$56),0)</f>
        <v>0</v>
      </c>
      <c r="L62" s="34" t="str">
        <f aca="false">IF('Player Data'!D62="Spain",ROUND(100*((N('Player Data'!H62)&gt;='Model Settings'!$E$57)*'Model Settings'!$F$57+(N('Player Data'!AI62)&gt;='Model Settings'!$E$58)*'Model Settings'!$F$58+(N('Player Data'!AL62)&gt;='Model Settings'!$E$59)*'Model Settings'!$F$59+(N('Player Data'!M62)&gt;='Model Settings'!$E$60)*'Model Settings'!$F$60+(N('Player Data'!X62)&lt;='Model Settings'!$E$61)*'Model Settings'!$F$61+(N('Player Data'!Y62)&gt;='Model Settings'!$E$62)*'Model Settings'!$F$62+(N('Player Data'!P62)&gt;='Model Settings'!$E$63)*'Model Settings'!$F$63)/('Model Settings'!$F$57+'Model Settings'!$F$58+'Model Settings'!$F$59+'Model Settings'!$F$60+'Model Settings'!$F$61+'Model Settings'!$F$62+'Model Settings'!$F$63),0),"n/a")</f>
        <v>n/a</v>
      </c>
      <c r="M62" s="34" t="str">
        <f aca="false">IF('Player Data'!CA62="None","No contact yet",IF('Player Data'!CA62="Improved","Working",IF('Player Data'!CA62="No change","Review approach","Escalate")))</f>
        <v>No contact yet</v>
      </c>
      <c r="N62" s="49" t="str">
        <f aca="false">IF(OR('Player Data'!BM62="Yes",I62="Alert"),"High",IF(B62&gt;='Model Settings'!$E$67,"High",IF(OR(B62&gt;='Model Settings'!$E$66,D62&gt;='Model Settings'!$E$68,F62&gt;='Model Settings'!$E$68,K62&gt;='Model Settings'!$E$68),"Medium","Low")))</f>
        <v>Low</v>
      </c>
      <c r="O62" s="34" t="str">
        <f aca="false">IF(N62="High","Contact player + review within 48h; stop marketing",IF(N62="Medium","Safer gambling message; monitor weekly","No action; routine monitoring"))</f>
        <v>No action; routine monitoring</v>
      </c>
      <c r="P62" s="34" t="n">
        <f aca="false">IF(OR(N62="High",AND('Model Settings'!$E$70="High+Medium",N62="Medium")),1,0)</f>
        <v>0</v>
      </c>
      <c r="Q62" s="34" t="n">
        <f aca="false">'Player Data'!CM62</f>
        <v>0</v>
      </c>
    </row>
    <row r="63" customFormat="false" ht="15" hidden="false" customHeight="false" outlineLevel="0" collapsed="false">
      <c r="A63" s="49" t="str">
        <f aca="false">'Player Data'!A63</f>
        <v>P058</v>
      </c>
      <c r="B63" s="50" t="n">
        <f aca="false">ROUND(100*((N('Player Data'!U63)&gt;='Model Settings'!$E$5)*'Model Settings'!$F$5+(N('Player Data'!AT63)&gt;='Model Settings'!$E$6)*'Model Settings'!$F$6+(N('Player Data'!BI63)&gt;='Model Settings'!$E$7)*'Model Settings'!$F$7+(N('Player Data'!AL63)&gt;='Model Settings'!$E$8)*'Model Settings'!$F$8+(N('Player Data'!AH63)&gt;='Model Settings'!$E$9)*'Model Settings'!$F$9+(N('Player Data'!B63)&lt;='Model Settings'!$E$10)*'Model Settings'!$F$10+(N('Player Data'!M63)&gt;='Model Settings'!$E$11)*'Model Settings'!$F$11+(N('Player Data'!J63)&lt;='Model Settings'!$E$12)*'Model Settings'!$F$12+(N('Player Data'!V63)&gt;='Model Settings'!$E$13)*'Model Settings'!$F$13+(N('Player Data'!W63)&gt;='Model Settings'!$E$14)*'Model Settings'!$F$14+(N('Player Data'!AE63)&gt;='Model Settings'!$E$15)*'Model Settings'!$F$15+(N('Player Data'!BF63)&gt;='Model Settings'!$E$16)*'Model Settings'!$F$16+(N('Player Data'!AX63)&gt;='Model Settings'!$E$17)*'Model Settings'!$F$17+(N('Player Data'!AP63)&gt;='Model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63</v>
      </c>
      <c r="C63" s="34" t="str">
        <f aca="false">IF('Player Data'!E63&lt;='Model Settings'!$E$69,ROUND(100*((N('Player Data'!H63)&gt;='Model Settings'!$E$19)*'Model Settings'!$F$19+(N('Player Data'!S63)&gt;='Model Settings'!$E$20)*'Model Settings'!$F$20+(N('Player Data'!AH63)&gt;='Model Settings'!$E$21)*'Model Settings'!$F$21+(N('Player Data'!AX63)&gt;='Model Settings'!$E$22)*'Model Settings'!$F$22+(N('Player Data'!Y63)&gt;='Model Settings'!$E$23)*'Model Settings'!$F$23+(N('Player Data'!AM63)&gt;='Model Settings'!$E$24)*'Model Settings'!$F$24)/('Model Settings'!$F$19+'Model Settings'!$F$20+'Model Settings'!$F$21+'Model Settings'!$F$22+'Model Settings'!$F$23+'Model Settings'!$F$24),0),"n/a")</f>
        <v>n/a</v>
      </c>
      <c r="D63" s="50" t="n">
        <f aca="false">ROUND(100*((N('Player Data'!U63)&gt;='Model Settings'!$E$25)*'Model Settings'!$F$25+(N('Player Data'!V63)&gt;='Model Settings'!$E$26)*'Model Settings'!$F$26+(N('Player Data'!W63)&gt;='Model Settings'!$E$27)*'Model Settings'!$F$27+(N('Player Data'!AT63)&gt;='Model Settings'!$E$28)*'Model Settings'!$F$28+(N('Player Data'!AE63)&gt;='Model Settings'!$E$29)*'Model Settings'!$F$29+(N('Player Data'!AO63)&gt;='Model Settings'!$E$30)*'Model Settings'!$F$30+(N('Player Data'!AG63)&gt;='Model Settings'!$E$31)*'Model Settings'!$F$31)/('Model Settings'!$F$25+'Model Settings'!$F$26+'Model Settings'!$F$27+'Model Settings'!$F$28+'Model Settings'!$F$29+'Model Settings'!$F$30+'Model Settings'!$F$31),0)</f>
        <v>71</v>
      </c>
      <c r="E63" s="50" t="n">
        <f aca="false">ROUND(100*((N('Player Data'!Z63)&gt;='Model Settings'!$E$32)*'Model Settings'!$F$32+(N('Player Data'!BN63)&gt;='Model Settings'!$E$33)*'Model Settings'!$F$33+(N('Player Data'!BO63)&gt;='Model Settings'!$E$34)*'Model Settings'!$F$34+(N('Player Data'!BP63)&gt;='Model Settings'!$E$35)*'Model Settings'!$F$35+('Player Data'!BR63='Model Settings'!$E$36)*'Model Settings'!$F$36+(N('Player Data'!AW63)&gt;='Model Settings'!$E$37)*'Model Settings'!$F$37+(N('Player Data'!AF63)&lt;='Model Settings'!$E$38)*'Model Settings'!$F$38)/('Model Settings'!$F$32+'Model Settings'!$F$33+'Model Settings'!$F$34+'Model Settings'!$F$35+'Model Settings'!$F$36+'Model Settings'!$F$37+'Model Settings'!$F$38),0)</f>
        <v>0</v>
      </c>
      <c r="F63" s="50" t="n">
        <f aca="false">ROUND(100*((N('Player Data'!K63)&gt;='Model Settings'!$E$39)*'Model Settings'!$F$39+(N('Player Data'!P63)&gt;='Model Settings'!$E$40)*'Model Settings'!$F$40+(N('Player Data'!M63)&gt;='Model Settings'!$E$41)*'Model Settings'!$F$41+(N('Player Data'!AU63)&gt;='Model Settings'!$E$42)*'Model Settings'!$F$42+(N('Player Data'!CL63)&gt;='Model Settings'!$E$43)*'Model Settings'!$F$43+(N('Player Data'!Q63)&gt;='Model Settings'!$E$44)*'Model Settings'!$F$44)/('Model Settings'!$F$39+'Model Settings'!$F$40+'Model Settings'!$F$41+'Model Settings'!$F$42+'Model Settings'!$F$43+'Model Settings'!$F$44),0)</f>
        <v>33</v>
      </c>
      <c r="G63" s="50" t="n">
        <f aca="false">ROUND(100*((N('Player Data'!BE63)&gt;='Model Settings'!$E$45)*'Model Settings'!$F$45+(N('Player Data'!BH63)&gt;='Model Settings'!$E$46)*'Model Settings'!$F$46+(N('Player Data'!U63)&gt;='Model Settings'!$E$47)*'Model Settings'!$F$47+(N('Player Data'!BN63)&gt;='Model Settings'!$E$48)*'Model Settings'!$F$48+(N('Player Data'!AX63)&gt;='Model Settings'!$E$49)*'Model Settings'!$F$49+(N('Player Data'!BL63)&gt;='Model Settings'!$E$50)*'Model Settings'!$F$50+(N('Player Data'!BI63)&gt;='Model Settings'!$E$51)*'Model Settings'!$F$51)/('Model Settings'!$F$45+'Model Settings'!$F$46+'Model Settings'!$F$47+'Model Settings'!$F$48+'Model Settings'!$F$49+'Model Settings'!$F$50+'Model Settings'!$F$51),0)</f>
        <v>71</v>
      </c>
      <c r="H63" s="34" t="str">
        <f aca="false">IF(AND(B63&lt;'Model Settings'!$E$66,E63&lt;'Model Settings'!$E$68),"Non-problem",IF(E63&gt;='Model Settings'!$E$68,"Financially vulnerable",IF(OR(N('Player Data'!BY63)&gt;=1,N('Player Data'!BX63)&gt;=2,N('Player Data'!BW63)&gt;=3),"Emotionally vulnerable","At-risk")))</f>
        <v>At-risk</v>
      </c>
      <c r="I63" s="34" t="str">
        <f aca="false">IF(OR(N('Player Data'!BY63)&gt;=1,'Player Data'!BZ63="Yes"),"Alert","None")</f>
        <v>None</v>
      </c>
      <c r="J63" s="34" t="str">
        <f aca="false">IF(OR(B63&gt;='Model Settings'!$E$67,'Player Data'!BM63="Yes",I63="Alert"),"Suppress",IF(AND(B63&gt;='Model Settings'!$E$66,'Player Data'!G63="Yes"),"Review VIP","Allow"))</f>
        <v>Suppress</v>
      </c>
      <c r="K63" s="50" t="n">
        <f aca="false">ROUND(100*((N('Player Data'!CH63)&gt;='Model Settings'!$E$52)*'Model Settings'!$F$52+(N('Player Data'!CI63)&gt;='Model Settings'!$E$53)*'Model Settings'!$F$53+(N('Player Data'!R63)&gt;='Model Settings'!$E$54)*'Model Settings'!$F$54+(N('Player Data'!Y63)&gt;='Model Settings'!$E$55)*'Model Settings'!$F$55+(N('Player Data'!AS63)&gt;='Model Settings'!$E$56)*'Model Settings'!$F$56)/('Model Settings'!$F$52+'Model Settings'!$F$53+'Model Settings'!$F$54+'Model Settings'!$F$55+'Model Settings'!$F$56),0)</f>
        <v>60</v>
      </c>
      <c r="L63" s="34" t="str">
        <f aca="false">IF('Player Data'!D63="Spain",ROUND(100*((N('Player Data'!H63)&gt;='Model Settings'!$E$57)*'Model Settings'!$F$57+(N('Player Data'!AI63)&gt;='Model Settings'!$E$58)*'Model Settings'!$F$58+(N('Player Data'!AL63)&gt;='Model Settings'!$E$59)*'Model Settings'!$F$59+(N('Player Data'!M63)&gt;='Model Settings'!$E$60)*'Model Settings'!$F$60+(N('Player Data'!X63)&lt;='Model Settings'!$E$61)*'Model Settings'!$F$61+(N('Player Data'!Y63)&gt;='Model Settings'!$E$62)*'Model Settings'!$F$62+(N('Player Data'!P63)&gt;='Model Settings'!$E$63)*'Model Settings'!$F$63)/('Model Settings'!$F$57+'Model Settings'!$F$58+'Model Settings'!$F$59+'Model Settings'!$F$60+'Model Settings'!$F$61+'Model Settings'!$F$62+'Model Settings'!$F$63),0),"n/a")</f>
        <v>n/a</v>
      </c>
      <c r="M63" s="34" t="str">
        <f aca="false">IF('Player Data'!CA63="None","No contact yet",IF('Player Data'!CA63="Improved","Working",IF('Player Data'!CA63="No change","Review approach","Escalate")))</f>
        <v>Escalate</v>
      </c>
      <c r="N63" s="49" t="str">
        <f aca="false">IF(OR('Player Data'!BM63="Yes",I63="Alert"),"High",IF(B63&gt;='Model Settings'!$E$67,"High",IF(OR(B63&gt;='Model Settings'!$E$66,D63&gt;='Model Settings'!$E$68,F63&gt;='Model Settings'!$E$68,K63&gt;='Model Settings'!$E$68),"Medium","Low")))</f>
        <v>High</v>
      </c>
      <c r="O63" s="34" t="str">
        <f aca="false">IF(N63="High","Contact player + review within 48h; stop marketing",IF(N63="Medium","Safer gambling message; monitor weekly","No action; routine monitoring"))</f>
        <v>Contact player + review within 48h; stop marketing</v>
      </c>
      <c r="P63" s="34" t="n">
        <f aca="false">IF(OR(N63="High",AND('Model Settings'!$E$70="High+Medium",N63="Medium")),1,0)</f>
        <v>1</v>
      </c>
      <c r="Q63" s="34" t="n">
        <f aca="false">'Player Data'!CM63</f>
        <v>0</v>
      </c>
    </row>
    <row r="64" customFormat="false" ht="15" hidden="false" customHeight="false" outlineLevel="0" collapsed="false">
      <c r="A64" s="49" t="str">
        <f aca="false">'Player Data'!A64</f>
        <v>P059</v>
      </c>
      <c r="B64" s="50" t="n">
        <f aca="false">ROUND(100*((N('Player Data'!U64)&gt;='Model Settings'!$E$5)*'Model Settings'!$F$5+(N('Player Data'!AT64)&gt;='Model Settings'!$E$6)*'Model Settings'!$F$6+(N('Player Data'!BI64)&gt;='Model Settings'!$E$7)*'Model Settings'!$F$7+(N('Player Data'!AL64)&gt;='Model Settings'!$E$8)*'Model Settings'!$F$8+(N('Player Data'!AH64)&gt;='Model Settings'!$E$9)*'Model Settings'!$F$9+(N('Player Data'!B64)&lt;='Model Settings'!$E$10)*'Model Settings'!$F$10+(N('Player Data'!M64)&gt;='Model Settings'!$E$11)*'Model Settings'!$F$11+(N('Player Data'!J64)&lt;='Model Settings'!$E$12)*'Model Settings'!$F$12+(N('Player Data'!V64)&gt;='Model Settings'!$E$13)*'Model Settings'!$F$13+(N('Player Data'!W64)&gt;='Model Settings'!$E$14)*'Model Settings'!$F$14+(N('Player Data'!AE64)&gt;='Model Settings'!$E$15)*'Model Settings'!$F$15+(N('Player Data'!BF64)&gt;='Model Settings'!$E$16)*'Model Settings'!$F$16+(N('Player Data'!AX64)&gt;='Model Settings'!$E$17)*'Model Settings'!$F$17+(N('Player Data'!AP64)&gt;='Model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67</v>
      </c>
      <c r="C64" s="34" t="str">
        <f aca="false">IF('Player Data'!E64&lt;='Model Settings'!$E$69,ROUND(100*((N('Player Data'!H64)&gt;='Model Settings'!$E$19)*'Model Settings'!$F$19+(N('Player Data'!S64)&gt;='Model Settings'!$E$20)*'Model Settings'!$F$20+(N('Player Data'!AH64)&gt;='Model Settings'!$E$21)*'Model Settings'!$F$21+(N('Player Data'!AX64)&gt;='Model Settings'!$E$22)*'Model Settings'!$F$22+(N('Player Data'!Y64)&gt;='Model Settings'!$E$23)*'Model Settings'!$F$23+(N('Player Data'!AM64)&gt;='Model Settings'!$E$24)*'Model Settings'!$F$24)/('Model Settings'!$F$19+'Model Settings'!$F$20+'Model Settings'!$F$21+'Model Settings'!$F$22+'Model Settings'!$F$23+'Model Settings'!$F$24),0),"n/a")</f>
        <v>n/a</v>
      </c>
      <c r="D64" s="50" t="n">
        <f aca="false">ROUND(100*((N('Player Data'!U64)&gt;='Model Settings'!$E$25)*'Model Settings'!$F$25+(N('Player Data'!V64)&gt;='Model Settings'!$E$26)*'Model Settings'!$F$26+(N('Player Data'!W64)&gt;='Model Settings'!$E$27)*'Model Settings'!$F$27+(N('Player Data'!AT64)&gt;='Model Settings'!$E$28)*'Model Settings'!$F$28+(N('Player Data'!AE64)&gt;='Model Settings'!$E$29)*'Model Settings'!$F$29+(N('Player Data'!AO64)&gt;='Model Settings'!$E$30)*'Model Settings'!$F$30+(N('Player Data'!AG64)&gt;='Model Settings'!$E$31)*'Model Settings'!$F$31)/('Model Settings'!$F$25+'Model Settings'!$F$26+'Model Settings'!$F$27+'Model Settings'!$F$28+'Model Settings'!$F$29+'Model Settings'!$F$30+'Model Settings'!$F$31),0)</f>
        <v>57</v>
      </c>
      <c r="E64" s="50" t="n">
        <f aca="false">ROUND(100*((N('Player Data'!Z64)&gt;='Model Settings'!$E$32)*'Model Settings'!$F$32+(N('Player Data'!BN64)&gt;='Model Settings'!$E$33)*'Model Settings'!$F$33+(N('Player Data'!BO64)&gt;='Model Settings'!$E$34)*'Model Settings'!$F$34+(N('Player Data'!BP64)&gt;='Model Settings'!$E$35)*'Model Settings'!$F$35+('Player Data'!BR64='Model Settings'!$E$36)*'Model Settings'!$F$36+(N('Player Data'!AW64)&gt;='Model Settings'!$E$37)*'Model Settings'!$F$37+(N('Player Data'!AF64)&lt;='Model Settings'!$E$38)*'Model Settings'!$F$38)/('Model Settings'!$F$32+'Model Settings'!$F$33+'Model Settings'!$F$34+'Model Settings'!$F$35+'Model Settings'!$F$36+'Model Settings'!$F$37+'Model Settings'!$F$38),0)</f>
        <v>29</v>
      </c>
      <c r="F64" s="50" t="n">
        <f aca="false">ROUND(100*((N('Player Data'!K64)&gt;='Model Settings'!$E$39)*'Model Settings'!$F$39+(N('Player Data'!P64)&gt;='Model Settings'!$E$40)*'Model Settings'!$F$40+(N('Player Data'!M64)&gt;='Model Settings'!$E$41)*'Model Settings'!$F$41+(N('Player Data'!AU64)&gt;='Model Settings'!$E$42)*'Model Settings'!$F$42+(N('Player Data'!CL64)&gt;='Model Settings'!$E$43)*'Model Settings'!$F$43+(N('Player Data'!Q64)&gt;='Model Settings'!$E$44)*'Model Settings'!$F$44)/('Model Settings'!$F$39+'Model Settings'!$F$40+'Model Settings'!$F$41+'Model Settings'!$F$42+'Model Settings'!$F$43+'Model Settings'!$F$44),0)</f>
        <v>67</v>
      </c>
      <c r="G64" s="50" t="n">
        <f aca="false">ROUND(100*((N('Player Data'!BE64)&gt;='Model Settings'!$E$45)*'Model Settings'!$F$45+(N('Player Data'!BH64)&gt;='Model Settings'!$E$46)*'Model Settings'!$F$46+(N('Player Data'!U64)&gt;='Model Settings'!$E$47)*'Model Settings'!$F$47+(N('Player Data'!BN64)&gt;='Model Settings'!$E$48)*'Model Settings'!$F$48+(N('Player Data'!AX64)&gt;='Model Settings'!$E$49)*'Model Settings'!$F$49+(N('Player Data'!BL64)&gt;='Model Settings'!$E$50)*'Model Settings'!$F$50+(N('Player Data'!BI64)&gt;='Model Settings'!$E$51)*'Model Settings'!$F$51)/('Model Settings'!$F$45+'Model Settings'!$F$46+'Model Settings'!$F$47+'Model Settings'!$F$48+'Model Settings'!$F$49+'Model Settings'!$F$50+'Model Settings'!$F$51),0)</f>
        <v>29</v>
      </c>
      <c r="H64" s="34" t="str">
        <f aca="false">IF(AND(B64&lt;'Model Settings'!$E$66,E64&lt;'Model Settings'!$E$68),"Non-problem",IF(E64&gt;='Model Settings'!$E$68,"Financially vulnerable",IF(OR(N('Player Data'!BY64)&gt;=1,N('Player Data'!BX64)&gt;=2,N('Player Data'!BW64)&gt;=3),"Emotionally vulnerable","At-risk")))</f>
        <v>Emotionally vulnerable</v>
      </c>
      <c r="I64" s="34" t="str">
        <f aca="false">IF(OR(N('Player Data'!BY64)&gt;=1,'Player Data'!BZ64="Yes"),"Alert","None")</f>
        <v>Alert</v>
      </c>
      <c r="J64" s="34" t="str">
        <f aca="false">IF(OR(B64&gt;='Model Settings'!$E$67,'Player Data'!BM64="Yes",I64="Alert"),"Suppress",IF(AND(B64&gt;='Model Settings'!$E$66,'Player Data'!G64="Yes"),"Review VIP","Allow"))</f>
        <v>Suppress</v>
      </c>
      <c r="K64" s="50" t="n">
        <f aca="false">ROUND(100*((N('Player Data'!CH64)&gt;='Model Settings'!$E$52)*'Model Settings'!$F$52+(N('Player Data'!CI64)&gt;='Model Settings'!$E$53)*'Model Settings'!$F$53+(N('Player Data'!R64)&gt;='Model Settings'!$E$54)*'Model Settings'!$F$54+(N('Player Data'!Y64)&gt;='Model Settings'!$E$55)*'Model Settings'!$F$55+(N('Player Data'!AS64)&gt;='Model Settings'!$E$56)*'Model Settings'!$F$56)/('Model Settings'!$F$52+'Model Settings'!$F$53+'Model Settings'!$F$54+'Model Settings'!$F$55+'Model Settings'!$F$56),0)</f>
        <v>60</v>
      </c>
      <c r="L64" s="34" t="n">
        <f aca="false">IF('Player Data'!D64="Spain",ROUND(100*((N('Player Data'!H64)&gt;='Model Settings'!$E$57)*'Model Settings'!$F$57+(N('Player Data'!AI64)&gt;='Model Settings'!$E$58)*'Model Settings'!$F$58+(N('Player Data'!AL64)&gt;='Model Settings'!$E$59)*'Model Settings'!$F$59+(N('Player Data'!M64)&gt;='Model Settings'!$E$60)*'Model Settings'!$F$60+(N('Player Data'!X64)&lt;='Model Settings'!$E$61)*'Model Settings'!$F$61+(N('Player Data'!Y64)&gt;='Model Settings'!$E$62)*'Model Settings'!$F$62+(N('Player Data'!P64)&gt;='Model Settings'!$E$63)*'Model Settings'!$F$63)/('Model Settings'!$F$57+'Model Settings'!$F$58+'Model Settings'!$F$59+'Model Settings'!$F$60+'Model Settings'!$F$61+'Model Settings'!$F$62+'Model Settings'!$F$63),0),"n/a")</f>
        <v>57</v>
      </c>
      <c r="M64" s="34" t="str">
        <f aca="false">IF('Player Data'!CA64="None","No contact yet",IF('Player Data'!CA64="Improved","Working",IF('Player Data'!CA64="No change","Review approach","Escalate")))</f>
        <v>Review approach</v>
      </c>
      <c r="N64" s="49" t="str">
        <f aca="false">IF(OR('Player Data'!BM64="Yes",I64="Alert"),"High",IF(B64&gt;='Model Settings'!$E$67,"High",IF(OR(B64&gt;='Model Settings'!$E$66,D64&gt;='Model Settings'!$E$68,F64&gt;='Model Settings'!$E$68,K64&gt;='Model Settings'!$E$68),"Medium","Low")))</f>
        <v>High</v>
      </c>
      <c r="O64" s="34" t="str">
        <f aca="false">IF(N64="High","Contact player + review within 48h; stop marketing",IF(N64="Medium","Safer gambling message; monitor weekly","No action; routine monitoring"))</f>
        <v>Contact player + review within 48h; stop marketing</v>
      </c>
      <c r="P64" s="34" t="n">
        <f aca="false">IF(OR(N64="High",AND('Model Settings'!$E$70="High+Medium",N64="Medium")),1,0)</f>
        <v>1</v>
      </c>
      <c r="Q64" s="34" t="n">
        <f aca="false">'Player Data'!CM64</f>
        <v>1</v>
      </c>
    </row>
    <row r="65" customFormat="false" ht="15" hidden="false" customHeight="false" outlineLevel="0" collapsed="false">
      <c r="A65" s="49" t="str">
        <f aca="false">'Player Data'!A65</f>
        <v>P060</v>
      </c>
      <c r="B65" s="50" t="n">
        <f aca="false">ROUND(100*((N('Player Data'!U65)&gt;='Model Settings'!$E$5)*'Model Settings'!$F$5+(N('Player Data'!AT65)&gt;='Model Settings'!$E$6)*'Model Settings'!$F$6+(N('Player Data'!BI65)&gt;='Model Settings'!$E$7)*'Model Settings'!$F$7+(N('Player Data'!AL65)&gt;='Model Settings'!$E$8)*'Model Settings'!$F$8+(N('Player Data'!AH65)&gt;='Model Settings'!$E$9)*'Model Settings'!$F$9+(N('Player Data'!B65)&lt;='Model Settings'!$E$10)*'Model Settings'!$F$10+(N('Player Data'!M65)&gt;='Model Settings'!$E$11)*'Model Settings'!$F$11+(N('Player Data'!J65)&lt;='Model Settings'!$E$12)*'Model Settings'!$F$12+(N('Player Data'!V65)&gt;='Model Settings'!$E$13)*'Model Settings'!$F$13+(N('Player Data'!W65)&gt;='Model Settings'!$E$14)*'Model Settings'!$F$14+(N('Player Data'!AE65)&gt;='Model Settings'!$E$15)*'Model Settings'!$F$15+(N('Player Data'!BF65)&gt;='Model Settings'!$E$16)*'Model Settings'!$F$16+(N('Player Data'!AX65)&gt;='Model Settings'!$E$17)*'Model Settings'!$F$17+(N('Player Data'!AP65)&gt;='Model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65" s="34" t="str">
        <f aca="false">IF('Player Data'!E65&lt;='Model Settings'!$E$69,ROUND(100*((N('Player Data'!H65)&gt;='Model Settings'!$E$19)*'Model Settings'!$F$19+(N('Player Data'!S65)&gt;='Model Settings'!$E$20)*'Model Settings'!$F$20+(N('Player Data'!AH65)&gt;='Model Settings'!$E$21)*'Model Settings'!$F$21+(N('Player Data'!AX65)&gt;='Model Settings'!$E$22)*'Model Settings'!$F$22+(N('Player Data'!Y65)&gt;='Model Settings'!$E$23)*'Model Settings'!$F$23+(N('Player Data'!AM65)&gt;='Model Settings'!$E$24)*'Model Settings'!$F$24)/('Model Settings'!$F$19+'Model Settings'!$F$20+'Model Settings'!$F$21+'Model Settings'!$F$22+'Model Settings'!$F$23+'Model Settings'!$F$24),0),"n/a")</f>
        <v>n/a</v>
      </c>
      <c r="D65" s="50" t="n">
        <f aca="false">ROUND(100*((N('Player Data'!U65)&gt;='Model Settings'!$E$25)*'Model Settings'!$F$25+(N('Player Data'!V65)&gt;='Model Settings'!$E$26)*'Model Settings'!$F$26+(N('Player Data'!W65)&gt;='Model Settings'!$E$27)*'Model Settings'!$F$27+(N('Player Data'!AT65)&gt;='Model Settings'!$E$28)*'Model Settings'!$F$28+(N('Player Data'!AE65)&gt;='Model Settings'!$E$29)*'Model Settings'!$F$29+(N('Player Data'!AO65)&gt;='Model Settings'!$E$30)*'Model Settings'!$F$30+(N('Player Data'!AG65)&gt;='Model Settings'!$E$31)*'Model Settings'!$F$31)/('Model Settings'!$F$25+'Model Settings'!$F$26+'Model Settings'!$F$27+'Model Settings'!$F$28+'Model Settings'!$F$29+'Model Settings'!$F$30+'Model Settings'!$F$31),0)</f>
        <v>14</v>
      </c>
      <c r="E65" s="50" t="n">
        <f aca="false">ROUND(100*((N('Player Data'!Z65)&gt;='Model Settings'!$E$32)*'Model Settings'!$F$32+(N('Player Data'!BN65)&gt;='Model Settings'!$E$33)*'Model Settings'!$F$33+(N('Player Data'!BO65)&gt;='Model Settings'!$E$34)*'Model Settings'!$F$34+(N('Player Data'!BP65)&gt;='Model Settings'!$E$35)*'Model Settings'!$F$35+('Player Data'!BR65='Model Settings'!$E$36)*'Model Settings'!$F$36+(N('Player Data'!AW65)&gt;='Model Settings'!$E$37)*'Model Settings'!$F$37+(N('Player Data'!AF65)&lt;='Model Settings'!$E$38)*'Model Settings'!$F$38)/('Model Settings'!$F$32+'Model Settings'!$F$33+'Model Settings'!$F$34+'Model Settings'!$F$35+'Model Settings'!$F$36+'Model Settings'!$F$37+'Model Settings'!$F$38),0)</f>
        <v>0</v>
      </c>
      <c r="F65" s="50" t="n">
        <f aca="false">ROUND(100*((N('Player Data'!K65)&gt;='Model Settings'!$E$39)*'Model Settings'!$F$39+(N('Player Data'!P65)&gt;='Model Settings'!$E$40)*'Model Settings'!$F$40+(N('Player Data'!M65)&gt;='Model Settings'!$E$41)*'Model Settings'!$F$41+(N('Player Data'!AU65)&gt;='Model Settings'!$E$42)*'Model Settings'!$F$42+(N('Player Data'!CL65)&gt;='Model Settings'!$E$43)*'Model Settings'!$F$43+(N('Player Data'!Q65)&gt;='Model Settings'!$E$44)*'Model Settings'!$F$44)/('Model Settings'!$F$39+'Model Settings'!$F$40+'Model Settings'!$F$41+'Model Settings'!$F$42+'Model Settings'!$F$43+'Model Settings'!$F$44),0)</f>
        <v>17</v>
      </c>
      <c r="G65" s="50" t="n">
        <f aca="false">ROUND(100*((N('Player Data'!BE65)&gt;='Model Settings'!$E$45)*'Model Settings'!$F$45+(N('Player Data'!BH65)&gt;='Model Settings'!$E$46)*'Model Settings'!$F$46+(N('Player Data'!U65)&gt;='Model Settings'!$E$47)*'Model Settings'!$F$47+(N('Player Data'!BN65)&gt;='Model Settings'!$E$48)*'Model Settings'!$F$48+(N('Player Data'!AX65)&gt;='Model Settings'!$E$49)*'Model Settings'!$F$49+(N('Player Data'!BL65)&gt;='Model Settings'!$E$50)*'Model Settings'!$F$50+(N('Player Data'!BI65)&gt;='Model Settings'!$E$51)*'Model Settings'!$F$51)/('Model Settings'!$F$45+'Model Settings'!$F$46+'Model Settings'!$F$47+'Model Settings'!$F$48+'Model Settings'!$F$49+'Model Settings'!$F$50+'Model Settings'!$F$51),0)</f>
        <v>0</v>
      </c>
      <c r="H65" s="34" t="str">
        <f aca="false">IF(AND(B65&lt;'Model Settings'!$E$66,E65&lt;'Model Settings'!$E$68),"Non-problem",IF(E65&gt;='Model Settings'!$E$68,"Financially vulnerable",IF(OR(N('Player Data'!BY65)&gt;=1,N('Player Data'!BX65)&gt;=2,N('Player Data'!BW65)&gt;=3),"Emotionally vulnerable","At-risk")))</f>
        <v>Non-problem</v>
      </c>
      <c r="I65" s="34" t="str">
        <f aca="false">IF(OR(N('Player Data'!BY65)&gt;=1,'Player Data'!BZ65="Yes"),"Alert","None")</f>
        <v>None</v>
      </c>
      <c r="J65" s="34" t="str">
        <f aca="false">IF(OR(B65&gt;='Model Settings'!$E$67,'Player Data'!BM65="Yes",I65="Alert"),"Suppress",IF(AND(B65&gt;='Model Settings'!$E$66,'Player Data'!G65="Yes"),"Review VIP","Allow"))</f>
        <v>Allow</v>
      </c>
      <c r="K65" s="50" t="n">
        <f aca="false">ROUND(100*((N('Player Data'!CH65)&gt;='Model Settings'!$E$52)*'Model Settings'!$F$52+(N('Player Data'!CI65)&gt;='Model Settings'!$E$53)*'Model Settings'!$F$53+(N('Player Data'!R65)&gt;='Model Settings'!$E$54)*'Model Settings'!$F$54+(N('Player Data'!Y65)&gt;='Model Settings'!$E$55)*'Model Settings'!$F$55+(N('Player Data'!AS65)&gt;='Model Settings'!$E$56)*'Model Settings'!$F$56)/('Model Settings'!$F$52+'Model Settings'!$F$53+'Model Settings'!$F$54+'Model Settings'!$F$55+'Model Settings'!$F$56),0)</f>
        <v>0</v>
      </c>
      <c r="L65" s="34" t="str">
        <f aca="false">IF('Player Data'!D65="Spain",ROUND(100*((N('Player Data'!H65)&gt;='Model Settings'!$E$57)*'Model Settings'!$F$57+(N('Player Data'!AI65)&gt;='Model Settings'!$E$58)*'Model Settings'!$F$58+(N('Player Data'!AL65)&gt;='Model Settings'!$E$59)*'Model Settings'!$F$59+(N('Player Data'!M65)&gt;='Model Settings'!$E$60)*'Model Settings'!$F$60+(N('Player Data'!X65)&lt;='Model Settings'!$E$61)*'Model Settings'!$F$61+(N('Player Data'!Y65)&gt;='Model Settings'!$E$62)*'Model Settings'!$F$62+(N('Player Data'!P65)&gt;='Model Settings'!$E$63)*'Model Settings'!$F$63)/('Model Settings'!$F$57+'Model Settings'!$F$58+'Model Settings'!$F$59+'Model Settings'!$F$60+'Model Settings'!$F$61+'Model Settings'!$F$62+'Model Settings'!$F$63),0),"n/a")</f>
        <v>n/a</v>
      </c>
      <c r="M65" s="34" t="str">
        <f aca="false">IF('Player Data'!CA65="None","No contact yet",IF('Player Data'!CA65="Improved","Working",IF('Player Data'!CA65="No change","Review approach","Escalate")))</f>
        <v>No contact yet</v>
      </c>
      <c r="N65" s="49" t="str">
        <f aca="false">IF(OR('Player Data'!BM65="Yes",I65="Alert"),"High",IF(B65&gt;='Model Settings'!$E$67,"High",IF(OR(B65&gt;='Model Settings'!$E$66,D65&gt;='Model Settings'!$E$68,F65&gt;='Model Settings'!$E$68,K65&gt;='Model Settings'!$E$68),"Medium","Low")))</f>
        <v>Low</v>
      </c>
      <c r="O65" s="34" t="str">
        <f aca="false">IF(N65="High","Contact player + review within 48h; stop marketing",IF(N65="Medium","Safer gambling message; monitor weekly","No action; routine monitoring"))</f>
        <v>No action; routine monitoring</v>
      </c>
      <c r="P65" s="34" t="n">
        <f aca="false">IF(OR(N65="High",AND('Model Settings'!$E$70="High+Medium",N65="Medium")),1,0)</f>
        <v>0</v>
      </c>
      <c r="Q65" s="34" t="n">
        <f aca="false">'Player Data'!CM65</f>
        <v>1</v>
      </c>
    </row>
    <row r="66" customFormat="false" ht="15" hidden="false" customHeight="false" outlineLevel="0" collapsed="false">
      <c r="A66" s="49" t="str">
        <f aca="false">'Player Data'!A66</f>
        <v>P061</v>
      </c>
      <c r="B66" s="50" t="n">
        <f aca="false">ROUND(100*((N('Player Data'!U66)&gt;='Model Settings'!$E$5)*'Model Settings'!$F$5+(N('Player Data'!AT66)&gt;='Model Settings'!$E$6)*'Model Settings'!$F$6+(N('Player Data'!BI66)&gt;='Model Settings'!$E$7)*'Model Settings'!$F$7+(N('Player Data'!AL66)&gt;='Model Settings'!$E$8)*'Model Settings'!$F$8+(N('Player Data'!AH66)&gt;='Model Settings'!$E$9)*'Model Settings'!$F$9+(N('Player Data'!B66)&lt;='Model Settings'!$E$10)*'Model Settings'!$F$10+(N('Player Data'!M66)&gt;='Model Settings'!$E$11)*'Model Settings'!$F$11+(N('Player Data'!J66)&lt;='Model Settings'!$E$12)*'Model Settings'!$F$12+(N('Player Data'!V66)&gt;='Model Settings'!$E$13)*'Model Settings'!$F$13+(N('Player Data'!W66)&gt;='Model Settings'!$E$14)*'Model Settings'!$F$14+(N('Player Data'!AE66)&gt;='Model Settings'!$E$15)*'Model Settings'!$F$15+(N('Player Data'!BF66)&gt;='Model Settings'!$E$16)*'Model Settings'!$F$16+(N('Player Data'!AX66)&gt;='Model Settings'!$E$17)*'Model Settings'!$F$17+(N('Player Data'!AP66)&gt;='Model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66" s="34" t="str">
        <f aca="false">IF('Player Data'!E66&lt;='Model Settings'!$E$69,ROUND(100*((N('Player Data'!H66)&gt;='Model Settings'!$E$19)*'Model Settings'!$F$19+(N('Player Data'!S66)&gt;='Model Settings'!$E$20)*'Model Settings'!$F$20+(N('Player Data'!AH66)&gt;='Model Settings'!$E$21)*'Model Settings'!$F$21+(N('Player Data'!AX66)&gt;='Model Settings'!$E$22)*'Model Settings'!$F$22+(N('Player Data'!Y66)&gt;='Model Settings'!$E$23)*'Model Settings'!$F$23+(N('Player Data'!AM66)&gt;='Model Settings'!$E$24)*'Model Settings'!$F$24)/('Model Settings'!$F$19+'Model Settings'!$F$20+'Model Settings'!$F$21+'Model Settings'!$F$22+'Model Settings'!$F$23+'Model Settings'!$F$24),0),"n/a")</f>
        <v>n/a</v>
      </c>
      <c r="D66" s="50" t="n">
        <f aca="false">ROUND(100*((N('Player Data'!U66)&gt;='Model Settings'!$E$25)*'Model Settings'!$F$25+(N('Player Data'!V66)&gt;='Model Settings'!$E$26)*'Model Settings'!$F$26+(N('Player Data'!W66)&gt;='Model Settings'!$E$27)*'Model Settings'!$F$27+(N('Player Data'!AT66)&gt;='Model Settings'!$E$28)*'Model Settings'!$F$28+(N('Player Data'!AE66)&gt;='Model Settings'!$E$29)*'Model Settings'!$F$29+(N('Player Data'!AO66)&gt;='Model Settings'!$E$30)*'Model Settings'!$F$30+(N('Player Data'!AG66)&gt;='Model Settings'!$E$31)*'Model Settings'!$F$31)/('Model Settings'!$F$25+'Model Settings'!$F$26+'Model Settings'!$F$27+'Model Settings'!$F$28+'Model Settings'!$F$29+'Model Settings'!$F$30+'Model Settings'!$F$31),0)</f>
        <v>14</v>
      </c>
      <c r="E66" s="50" t="n">
        <f aca="false">ROUND(100*((N('Player Data'!Z66)&gt;='Model Settings'!$E$32)*'Model Settings'!$F$32+(N('Player Data'!BN66)&gt;='Model Settings'!$E$33)*'Model Settings'!$F$33+(N('Player Data'!BO66)&gt;='Model Settings'!$E$34)*'Model Settings'!$F$34+(N('Player Data'!BP66)&gt;='Model Settings'!$E$35)*'Model Settings'!$F$35+('Player Data'!BR66='Model Settings'!$E$36)*'Model Settings'!$F$36+(N('Player Data'!AW66)&gt;='Model Settings'!$E$37)*'Model Settings'!$F$37+(N('Player Data'!AF66)&lt;='Model Settings'!$E$38)*'Model Settings'!$F$38)/('Model Settings'!$F$32+'Model Settings'!$F$33+'Model Settings'!$F$34+'Model Settings'!$F$35+'Model Settings'!$F$36+'Model Settings'!$F$37+'Model Settings'!$F$38),0)</f>
        <v>0</v>
      </c>
      <c r="F66" s="50" t="n">
        <f aca="false">ROUND(100*((N('Player Data'!K66)&gt;='Model Settings'!$E$39)*'Model Settings'!$F$39+(N('Player Data'!P66)&gt;='Model Settings'!$E$40)*'Model Settings'!$F$40+(N('Player Data'!M66)&gt;='Model Settings'!$E$41)*'Model Settings'!$F$41+(N('Player Data'!AU66)&gt;='Model Settings'!$E$42)*'Model Settings'!$F$42+(N('Player Data'!CL66)&gt;='Model Settings'!$E$43)*'Model Settings'!$F$43+(N('Player Data'!Q66)&gt;='Model Settings'!$E$44)*'Model Settings'!$F$44)/('Model Settings'!$F$39+'Model Settings'!$F$40+'Model Settings'!$F$41+'Model Settings'!$F$42+'Model Settings'!$F$43+'Model Settings'!$F$44),0)</f>
        <v>33</v>
      </c>
      <c r="G66" s="50" t="n">
        <f aca="false">ROUND(100*((N('Player Data'!BE66)&gt;='Model Settings'!$E$45)*'Model Settings'!$F$45+(N('Player Data'!BH66)&gt;='Model Settings'!$E$46)*'Model Settings'!$F$46+(N('Player Data'!U66)&gt;='Model Settings'!$E$47)*'Model Settings'!$F$47+(N('Player Data'!BN66)&gt;='Model Settings'!$E$48)*'Model Settings'!$F$48+(N('Player Data'!AX66)&gt;='Model Settings'!$E$49)*'Model Settings'!$F$49+(N('Player Data'!BL66)&gt;='Model Settings'!$E$50)*'Model Settings'!$F$50+(N('Player Data'!BI66)&gt;='Model Settings'!$E$51)*'Model Settings'!$F$51)/('Model Settings'!$F$45+'Model Settings'!$F$46+'Model Settings'!$F$47+'Model Settings'!$F$48+'Model Settings'!$F$49+'Model Settings'!$F$50+'Model Settings'!$F$51),0)</f>
        <v>0</v>
      </c>
      <c r="H66" s="34" t="str">
        <f aca="false">IF(AND(B66&lt;'Model Settings'!$E$66,E66&lt;'Model Settings'!$E$68),"Non-problem",IF(E66&gt;='Model Settings'!$E$68,"Financially vulnerable",IF(OR(N('Player Data'!BY66)&gt;=1,N('Player Data'!BX66)&gt;=2,N('Player Data'!BW66)&gt;=3),"Emotionally vulnerable","At-risk")))</f>
        <v>Non-problem</v>
      </c>
      <c r="I66" s="34" t="str">
        <f aca="false">IF(OR(N('Player Data'!BY66)&gt;=1,'Player Data'!BZ66="Yes"),"Alert","None")</f>
        <v>None</v>
      </c>
      <c r="J66" s="34" t="str">
        <f aca="false">IF(OR(B66&gt;='Model Settings'!$E$67,'Player Data'!BM66="Yes",I66="Alert"),"Suppress",IF(AND(B66&gt;='Model Settings'!$E$66,'Player Data'!G66="Yes"),"Review VIP","Allow"))</f>
        <v>Allow</v>
      </c>
      <c r="K66" s="50" t="n">
        <f aca="false">ROUND(100*((N('Player Data'!CH66)&gt;='Model Settings'!$E$52)*'Model Settings'!$F$52+(N('Player Data'!CI66)&gt;='Model Settings'!$E$53)*'Model Settings'!$F$53+(N('Player Data'!R66)&gt;='Model Settings'!$E$54)*'Model Settings'!$F$54+(N('Player Data'!Y66)&gt;='Model Settings'!$E$55)*'Model Settings'!$F$55+(N('Player Data'!AS66)&gt;='Model Settings'!$E$56)*'Model Settings'!$F$56)/('Model Settings'!$F$52+'Model Settings'!$F$53+'Model Settings'!$F$54+'Model Settings'!$F$55+'Model Settings'!$F$56),0)</f>
        <v>20</v>
      </c>
      <c r="L66" s="34" t="n">
        <f aca="false">IF('Player Data'!D66="Spain",ROUND(100*((N('Player Data'!H66)&gt;='Model Settings'!$E$57)*'Model Settings'!$F$57+(N('Player Data'!AI66)&gt;='Model Settings'!$E$58)*'Model Settings'!$F$58+(N('Player Data'!AL66)&gt;='Model Settings'!$E$59)*'Model Settings'!$F$59+(N('Player Data'!M66)&gt;='Model Settings'!$E$60)*'Model Settings'!$F$60+(N('Player Data'!X66)&lt;='Model Settings'!$E$61)*'Model Settings'!$F$61+(N('Player Data'!Y66)&gt;='Model Settings'!$E$62)*'Model Settings'!$F$62+(N('Player Data'!P66)&gt;='Model Settings'!$E$63)*'Model Settings'!$F$63)/('Model Settings'!$F$57+'Model Settings'!$F$58+'Model Settings'!$F$59+'Model Settings'!$F$60+'Model Settings'!$F$61+'Model Settings'!$F$62+'Model Settings'!$F$63),0),"n/a")</f>
        <v>29</v>
      </c>
      <c r="M66" s="34" t="str">
        <f aca="false">IF('Player Data'!CA66="None","No contact yet",IF('Player Data'!CA66="Improved","Working",IF('Player Data'!CA66="No change","Review approach","Escalate")))</f>
        <v>No contact yet</v>
      </c>
      <c r="N66" s="49" t="str">
        <f aca="false">IF(OR('Player Data'!BM66="Yes",I66="Alert"),"High",IF(B66&gt;='Model Settings'!$E$67,"High",IF(OR(B66&gt;='Model Settings'!$E$66,D66&gt;='Model Settings'!$E$68,F66&gt;='Model Settings'!$E$68,K66&gt;='Model Settings'!$E$68),"Medium","Low")))</f>
        <v>Low</v>
      </c>
      <c r="O66" s="34" t="str">
        <f aca="false">IF(N66="High","Contact player + review within 48h; stop marketing",IF(N66="Medium","Safer gambling message; monitor weekly","No action; routine monitoring"))</f>
        <v>No action; routine monitoring</v>
      </c>
      <c r="P66" s="34" t="n">
        <f aca="false">IF(OR(N66="High",AND('Model Settings'!$E$70="High+Medium",N66="Medium")),1,0)</f>
        <v>0</v>
      </c>
      <c r="Q66" s="34" t="n">
        <f aca="false">'Player Data'!CM66</f>
        <v>0</v>
      </c>
    </row>
    <row r="67" customFormat="false" ht="15" hidden="false" customHeight="false" outlineLevel="0" collapsed="false">
      <c r="A67" s="49" t="str">
        <f aca="false">'Player Data'!A67</f>
        <v>P062</v>
      </c>
      <c r="B67" s="50" t="n">
        <f aca="false">ROUND(100*((N('Player Data'!U67)&gt;='Model Settings'!$E$5)*'Model Settings'!$F$5+(N('Player Data'!AT67)&gt;='Model Settings'!$E$6)*'Model Settings'!$F$6+(N('Player Data'!BI67)&gt;='Model Settings'!$E$7)*'Model Settings'!$F$7+(N('Player Data'!AL67)&gt;='Model Settings'!$E$8)*'Model Settings'!$F$8+(N('Player Data'!AH67)&gt;='Model Settings'!$E$9)*'Model Settings'!$F$9+(N('Player Data'!B67)&lt;='Model Settings'!$E$10)*'Model Settings'!$F$10+(N('Player Data'!M67)&gt;='Model Settings'!$E$11)*'Model Settings'!$F$11+(N('Player Data'!J67)&lt;='Model Settings'!$E$12)*'Model Settings'!$F$12+(N('Player Data'!V67)&gt;='Model Settings'!$E$13)*'Model Settings'!$F$13+(N('Player Data'!W67)&gt;='Model Settings'!$E$14)*'Model Settings'!$F$14+(N('Player Data'!AE67)&gt;='Model Settings'!$E$15)*'Model Settings'!$F$15+(N('Player Data'!BF67)&gt;='Model Settings'!$E$16)*'Model Settings'!$F$16+(N('Player Data'!AX67)&gt;='Model Settings'!$E$17)*'Model Settings'!$F$17+(N('Player Data'!AP67)&gt;='Model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67" s="34" t="str">
        <f aca="false">IF('Player Data'!E67&lt;='Model Settings'!$E$69,ROUND(100*((N('Player Data'!H67)&gt;='Model Settings'!$E$19)*'Model Settings'!$F$19+(N('Player Data'!S67)&gt;='Model Settings'!$E$20)*'Model Settings'!$F$20+(N('Player Data'!AH67)&gt;='Model Settings'!$E$21)*'Model Settings'!$F$21+(N('Player Data'!AX67)&gt;='Model Settings'!$E$22)*'Model Settings'!$F$22+(N('Player Data'!Y67)&gt;='Model Settings'!$E$23)*'Model Settings'!$F$23+(N('Player Data'!AM67)&gt;='Model Settings'!$E$24)*'Model Settings'!$F$24)/('Model Settings'!$F$19+'Model Settings'!$F$20+'Model Settings'!$F$21+'Model Settings'!$F$22+'Model Settings'!$F$23+'Model Settings'!$F$24),0),"n/a")</f>
        <v>n/a</v>
      </c>
      <c r="D67" s="50" t="n">
        <f aca="false">ROUND(100*((N('Player Data'!U67)&gt;='Model Settings'!$E$25)*'Model Settings'!$F$25+(N('Player Data'!V67)&gt;='Model Settings'!$E$26)*'Model Settings'!$F$26+(N('Player Data'!W67)&gt;='Model Settings'!$E$27)*'Model Settings'!$F$27+(N('Player Data'!AT67)&gt;='Model Settings'!$E$28)*'Model Settings'!$F$28+(N('Player Data'!AE67)&gt;='Model Settings'!$E$29)*'Model Settings'!$F$29+(N('Player Data'!AO67)&gt;='Model Settings'!$E$30)*'Model Settings'!$F$30+(N('Player Data'!AG67)&gt;='Model Settings'!$E$31)*'Model Settings'!$F$31)/('Model Settings'!$F$25+'Model Settings'!$F$26+'Model Settings'!$F$27+'Model Settings'!$F$28+'Model Settings'!$F$29+'Model Settings'!$F$30+'Model Settings'!$F$31),0)</f>
        <v>0</v>
      </c>
      <c r="E67" s="50" t="n">
        <f aca="false">ROUND(100*((N('Player Data'!Z67)&gt;='Model Settings'!$E$32)*'Model Settings'!$F$32+(N('Player Data'!BN67)&gt;='Model Settings'!$E$33)*'Model Settings'!$F$33+(N('Player Data'!BO67)&gt;='Model Settings'!$E$34)*'Model Settings'!$F$34+(N('Player Data'!BP67)&gt;='Model Settings'!$E$35)*'Model Settings'!$F$35+('Player Data'!BR67='Model Settings'!$E$36)*'Model Settings'!$F$36+(N('Player Data'!AW67)&gt;='Model Settings'!$E$37)*'Model Settings'!$F$37+(N('Player Data'!AF67)&lt;='Model Settings'!$E$38)*'Model Settings'!$F$38)/('Model Settings'!$F$32+'Model Settings'!$F$33+'Model Settings'!$F$34+'Model Settings'!$F$35+'Model Settings'!$F$36+'Model Settings'!$F$37+'Model Settings'!$F$38),0)</f>
        <v>0</v>
      </c>
      <c r="F67" s="50" t="n">
        <f aca="false">ROUND(100*((N('Player Data'!K67)&gt;='Model Settings'!$E$39)*'Model Settings'!$F$39+(N('Player Data'!P67)&gt;='Model Settings'!$E$40)*'Model Settings'!$F$40+(N('Player Data'!M67)&gt;='Model Settings'!$E$41)*'Model Settings'!$F$41+(N('Player Data'!AU67)&gt;='Model Settings'!$E$42)*'Model Settings'!$F$42+(N('Player Data'!CL67)&gt;='Model Settings'!$E$43)*'Model Settings'!$F$43+(N('Player Data'!Q67)&gt;='Model Settings'!$E$44)*'Model Settings'!$F$44)/('Model Settings'!$F$39+'Model Settings'!$F$40+'Model Settings'!$F$41+'Model Settings'!$F$42+'Model Settings'!$F$43+'Model Settings'!$F$44),0)</f>
        <v>0</v>
      </c>
      <c r="G67" s="50" t="n">
        <f aca="false">ROUND(100*((N('Player Data'!BE67)&gt;='Model Settings'!$E$45)*'Model Settings'!$F$45+(N('Player Data'!BH67)&gt;='Model Settings'!$E$46)*'Model Settings'!$F$46+(N('Player Data'!U67)&gt;='Model Settings'!$E$47)*'Model Settings'!$F$47+(N('Player Data'!BN67)&gt;='Model Settings'!$E$48)*'Model Settings'!$F$48+(N('Player Data'!AX67)&gt;='Model Settings'!$E$49)*'Model Settings'!$F$49+(N('Player Data'!BL67)&gt;='Model Settings'!$E$50)*'Model Settings'!$F$50+(N('Player Data'!BI67)&gt;='Model Settings'!$E$51)*'Model Settings'!$F$51)/('Model Settings'!$F$45+'Model Settings'!$F$46+'Model Settings'!$F$47+'Model Settings'!$F$48+'Model Settings'!$F$49+'Model Settings'!$F$50+'Model Settings'!$F$51),0)</f>
        <v>0</v>
      </c>
      <c r="H67" s="34" t="str">
        <f aca="false">IF(AND(B67&lt;'Model Settings'!$E$66,E67&lt;'Model Settings'!$E$68),"Non-problem",IF(E67&gt;='Model Settings'!$E$68,"Financially vulnerable",IF(OR(N('Player Data'!BY67)&gt;=1,N('Player Data'!BX67)&gt;=2,N('Player Data'!BW67)&gt;=3),"Emotionally vulnerable","At-risk")))</f>
        <v>Non-problem</v>
      </c>
      <c r="I67" s="34" t="str">
        <f aca="false">IF(OR(N('Player Data'!BY67)&gt;=1,'Player Data'!BZ67="Yes"),"Alert","None")</f>
        <v>None</v>
      </c>
      <c r="J67" s="34" t="str">
        <f aca="false">IF(OR(B67&gt;='Model Settings'!$E$67,'Player Data'!BM67="Yes",I67="Alert"),"Suppress",IF(AND(B67&gt;='Model Settings'!$E$66,'Player Data'!G67="Yes"),"Review VIP","Allow"))</f>
        <v>Allow</v>
      </c>
      <c r="K67" s="50" t="n">
        <f aca="false">ROUND(100*((N('Player Data'!CH67)&gt;='Model Settings'!$E$52)*'Model Settings'!$F$52+(N('Player Data'!CI67)&gt;='Model Settings'!$E$53)*'Model Settings'!$F$53+(N('Player Data'!R67)&gt;='Model Settings'!$E$54)*'Model Settings'!$F$54+(N('Player Data'!Y67)&gt;='Model Settings'!$E$55)*'Model Settings'!$F$55+(N('Player Data'!AS67)&gt;='Model Settings'!$E$56)*'Model Settings'!$F$56)/('Model Settings'!$F$52+'Model Settings'!$F$53+'Model Settings'!$F$54+'Model Settings'!$F$55+'Model Settings'!$F$56),0)</f>
        <v>0</v>
      </c>
      <c r="L67" s="34" t="str">
        <f aca="false">IF('Player Data'!D67="Spain",ROUND(100*((N('Player Data'!H67)&gt;='Model Settings'!$E$57)*'Model Settings'!$F$57+(N('Player Data'!AI67)&gt;='Model Settings'!$E$58)*'Model Settings'!$F$58+(N('Player Data'!AL67)&gt;='Model Settings'!$E$59)*'Model Settings'!$F$59+(N('Player Data'!M67)&gt;='Model Settings'!$E$60)*'Model Settings'!$F$60+(N('Player Data'!X67)&lt;='Model Settings'!$E$61)*'Model Settings'!$F$61+(N('Player Data'!Y67)&gt;='Model Settings'!$E$62)*'Model Settings'!$F$62+(N('Player Data'!P67)&gt;='Model Settings'!$E$63)*'Model Settings'!$F$63)/('Model Settings'!$F$57+'Model Settings'!$F$58+'Model Settings'!$F$59+'Model Settings'!$F$60+'Model Settings'!$F$61+'Model Settings'!$F$62+'Model Settings'!$F$63),0),"n/a")</f>
        <v>n/a</v>
      </c>
      <c r="M67" s="34" t="str">
        <f aca="false">IF('Player Data'!CA67="None","No contact yet",IF('Player Data'!CA67="Improved","Working",IF('Player Data'!CA67="No change","Review approach","Escalate")))</f>
        <v>No contact yet</v>
      </c>
      <c r="N67" s="49" t="str">
        <f aca="false">IF(OR('Player Data'!BM67="Yes",I67="Alert"),"High",IF(B67&gt;='Model Settings'!$E$67,"High",IF(OR(B67&gt;='Model Settings'!$E$66,D67&gt;='Model Settings'!$E$68,F67&gt;='Model Settings'!$E$68,K67&gt;='Model Settings'!$E$68),"Medium","Low")))</f>
        <v>Low</v>
      </c>
      <c r="O67" s="34" t="str">
        <f aca="false">IF(N67="High","Contact player + review within 48h; stop marketing",IF(N67="Medium","Safer gambling message; monitor weekly","No action; routine monitoring"))</f>
        <v>No action; routine monitoring</v>
      </c>
      <c r="P67" s="34" t="n">
        <f aca="false">IF(OR(N67="High",AND('Model Settings'!$E$70="High+Medium",N67="Medium")),1,0)</f>
        <v>0</v>
      </c>
      <c r="Q67" s="34" t="n">
        <f aca="false">'Player Data'!CM67</f>
        <v>0</v>
      </c>
    </row>
    <row r="68" customFormat="false" ht="15" hidden="false" customHeight="false" outlineLevel="0" collapsed="false">
      <c r="A68" s="49" t="str">
        <f aca="false">'Player Data'!A68</f>
        <v>P063</v>
      </c>
      <c r="B68" s="50" t="n">
        <f aca="false">ROUND(100*((N('Player Data'!U68)&gt;='Model Settings'!$E$5)*'Model Settings'!$F$5+(N('Player Data'!AT68)&gt;='Model Settings'!$E$6)*'Model Settings'!$F$6+(N('Player Data'!BI68)&gt;='Model Settings'!$E$7)*'Model Settings'!$F$7+(N('Player Data'!AL68)&gt;='Model Settings'!$E$8)*'Model Settings'!$F$8+(N('Player Data'!AH68)&gt;='Model Settings'!$E$9)*'Model Settings'!$F$9+(N('Player Data'!B68)&lt;='Model Settings'!$E$10)*'Model Settings'!$F$10+(N('Player Data'!M68)&gt;='Model Settings'!$E$11)*'Model Settings'!$F$11+(N('Player Data'!J68)&lt;='Model Settings'!$E$12)*'Model Settings'!$F$12+(N('Player Data'!V68)&gt;='Model Settings'!$E$13)*'Model Settings'!$F$13+(N('Player Data'!W68)&gt;='Model Settings'!$E$14)*'Model Settings'!$F$14+(N('Player Data'!AE68)&gt;='Model Settings'!$E$15)*'Model Settings'!$F$15+(N('Player Data'!BF68)&gt;='Model Settings'!$E$16)*'Model Settings'!$F$16+(N('Player Data'!AX68)&gt;='Model Settings'!$E$17)*'Model Settings'!$F$17+(N('Player Data'!AP68)&gt;='Model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68" s="34" t="n">
        <f aca="false">IF('Player Data'!E68&lt;='Model Settings'!$E$69,ROUND(100*((N('Player Data'!H68)&gt;='Model Settings'!$E$19)*'Model Settings'!$F$19+(N('Player Data'!S68)&gt;='Model Settings'!$E$20)*'Model Settings'!$F$20+(N('Player Data'!AH68)&gt;='Model Settings'!$E$21)*'Model Settings'!$F$21+(N('Player Data'!AX68)&gt;='Model Settings'!$E$22)*'Model Settings'!$F$22+(N('Player Data'!Y68)&gt;='Model Settings'!$E$23)*'Model Settings'!$F$23+(N('Player Data'!AM68)&gt;='Model Settings'!$E$24)*'Model Settings'!$F$24)/('Model Settings'!$F$19+'Model Settings'!$F$20+'Model Settings'!$F$21+'Model Settings'!$F$22+'Model Settings'!$F$23+'Model Settings'!$F$24),0),"n/a")</f>
        <v>67</v>
      </c>
      <c r="D68" s="50" t="n">
        <f aca="false">ROUND(100*((N('Player Data'!U68)&gt;='Model Settings'!$E$25)*'Model Settings'!$F$25+(N('Player Data'!V68)&gt;='Model Settings'!$E$26)*'Model Settings'!$F$26+(N('Player Data'!W68)&gt;='Model Settings'!$E$27)*'Model Settings'!$F$27+(N('Player Data'!AT68)&gt;='Model Settings'!$E$28)*'Model Settings'!$F$28+(N('Player Data'!AE68)&gt;='Model Settings'!$E$29)*'Model Settings'!$F$29+(N('Player Data'!AO68)&gt;='Model Settings'!$E$30)*'Model Settings'!$F$30+(N('Player Data'!AG68)&gt;='Model Settings'!$E$31)*'Model Settings'!$F$31)/('Model Settings'!$F$25+'Model Settings'!$F$26+'Model Settings'!$F$27+'Model Settings'!$F$28+'Model Settings'!$F$29+'Model Settings'!$F$30+'Model Settings'!$F$31),0)</f>
        <v>0</v>
      </c>
      <c r="E68" s="50" t="n">
        <f aca="false">ROUND(100*((N('Player Data'!Z68)&gt;='Model Settings'!$E$32)*'Model Settings'!$F$32+(N('Player Data'!BN68)&gt;='Model Settings'!$E$33)*'Model Settings'!$F$33+(N('Player Data'!BO68)&gt;='Model Settings'!$E$34)*'Model Settings'!$F$34+(N('Player Data'!BP68)&gt;='Model Settings'!$E$35)*'Model Settings'!$F$35+('Player Data'!BR68='Model Settings'!$E$36)*'Model Settings'!$F$36+(N('Player Data'!AW68)&gt;='Model Settings'!$E$37)*'Model Settings'!$F$37+(N('Player Data'!AF68)&lt;='Model Settings'!$E$38)*'Model Settings'!$F$38)/('Model Settings'!$F$32+'Model Settings'!$F$33+'Model Settings'!$F$34+'Model Settings'!$F$35+'Model Settings'!$F$36+'Model Settings'!$F$37+'Model Settings'!$F$38),0)</f>
        <v>0</v>
      </c>
      <c r="F68" s="50" t="n">
        <f aca="false">ROUND(100*((N('Player Data'!K68)&gt;='Model Settings'!$E$39)*'Model Settings'!$F$39+(N('Player Data'!P68)&gt;='Model Settings'!$E$40)*'Model Settings'!$F$40+(N('Player Data'!M68)&gt;='Model Settings'!$E$41)*'Model Settings'!$F$41+(N('Player Data'!AU68)&gt;='Model Settings'!$E$42)*'Model Settings'!$F$42+(N('Player Data'!CL68)&gt;='Model Settings'!$E$43)*'Model Settings'!$F$43+(N('Player Data'!Q68)&gt;='Model Settings'!$E$44)*'Model Settings'!$F$44)/('Model Settings'!$F$39+'Model Settings'!$F$40+'Model Settings'!$F$41+'Model Settings'!$F$42+'Model Settings'!$F$43+'Model Settings'!$F$44),0)</f>
        <v>0</v>
      </c>
      <c r="G68" s="50" t="n">
        <f aca="false">ROUND(100*((N('Player Data'!BE68)&gt;='Model Settings'!$E$45)*'Model Settings'!$F$45+(N('Player Data'!BH68)&gt;='Model Settings'!$E$46)*'Model Settings'!$F$46+(N('Player Data'!U68)&gt;='Model Settings'!$E$47)*'Model Settings'!$F$47+(N('Player Data'!BN68)&gt;='Model Settings'!$E$48)*'Model Settings'!$F$48+(N('Player Data'!AX68)&gt;='Model Settings'!$E$49)*'Model Settings'!$F$49+(N('Player Data'!BL68)&gt;='Model Settings'!$E$50)*'Model Settings'!$F$50+(N('Player Data'!BI68)&gt;='Model Settings'!$E$51)*'Model Settings'!$F$51)/('Model Settings'!$F$45+'Model Settings'!$F$46+'Model Settings'!$F$47+'Model Settings'!$F$48+'Model Settings'!$F$49+'Model Settings'!$F$50+'Model Settings'!$F$51),0)</f>
        <v>0</v>
      </c>
      <c r="H68" s="34" t="str">
        <f aca="false">IF(AND(B68&lt;'Model Settings'!$E$66,E68&lt;'Model Settings'!$E$68),"Non-problem",IF(E68&gt;='Model Settings'!$E$68,"Financially vulnerable",IF(OR(N('Player Data'!BY68)&gt;=1,N('Player Data'!BX68)&gt;=2,N('Player Data'!BW68)&gt;=3),"Emotionally vulnerable","At-risk")))</f>
        <v>Non-problem</v>
      </c>
      <c r="I68" s="34" t="str">
        <f aca="false">IF(OR(N('Player Data'!BY68)&gt;=1,'Player Data'!BZ68="Yes"),"Alert","None")</f>
        <v>None</v>
      </c>
      <c r="J68" s="34" t="str">
        <f aca="false">IF(OR(B68&gt;='Model Settings'!$E$67,'Player Data'!BM68="Yes",I68="Alert"),"Suppress",IF(AND(B68&gt;='Model Settings'!$E$66,'Player Data'!G68="Yes"),"Review VIP","Allow"))</f>
        <v>Allow</v>
      </c>
      <c r="K68" s="50" t="n">
        <f aca="false">ROUND(100*((N('Player Data'!CH68)&gt;='Model Settings'!$E$52)*'Model Settings'!$F$52+(N('Player Data'!CI68)&gt;='Model Settings'!$E$53)*'Model Settings'!$F$53+(N('Player Data'!R68)&gt;='Model Settings'!$E$54)*'Model Settings'!$F$54+(N('Player Data'!Y68)&gt;='Model Settings'!$E$55)*'Model Settings'!$F$55+(N('Player Data'!AS68)&gt;='Model Settings'!$E$56)*'Model Settings'!$F$56)/('Model Settings'!$F$52+'Model Settings'!$F$53+'Model Settings'!$F$54+'Model Settings'!$F$55+'Model Settings'!$F$56),0)</f>
        <v>60</v>
      </c>
      <c r="L68" s="34" t="n">
        <f aca="false">IF('Player Data'!D68="Spain",ROUND(100*((N('Player Data'!H68)&gt;='Model Settings'!$E$57)*'Model Settings'!$F$57+(N('Player Data'!AI68)&gt;='Model Settings'!$E$58)*'Model Settings'!$F$58+(N('Player Data'!AL68)&gt;='Model Settings'!$E$59)*'Model Settings'!$F$59+(N('Player Data'!M68)&gt;='Model Settings'!$E$60)*'Model Settings'!$F$60+(N('Player Data'!X68)&lt;='Model Settings'!$E$61)*'Model Settings'!$F$61+(N('Player Data'!Y68)&gt;='Model Settings'!$E$62)*'Model Settings'!$F$62+(N('Player Data'!P68)&gt;='Model Settings'!$E$63)*'Model Settings'!$F$63)/('Model Settings'!$F$57+'Model Settings'!$F$58+'Model Settings'!$F$59+'Model Settings'!$F$60+'Model Settings'!$F$61+'Model Settings'!$F$62+'Model Settings'!$F$63),0),"n/a")</f>
        <v>43</v>
      </c>
      <c r="M68" s="34" t="str">
        <f aca="false">IF('Player Data'!CA68="None","No contact yet",IF('Player Data'!CA68="Improved","Working",IF('Player Data'!CA68="No change","Review approach","Escalate")))</f>
        <v>No contact yet</v>
      </c>
      <c r="N68" s="49" t="str">
        <f aca="false">IF(OR('Player Data'!BM68="Yes",I68="Alert"),"High",IF(B68&gt;='Model Settings'!$E$67,"High",IF(OR(B68&gt;='Model Settings'!$E$66,D68&gt;='Model Settings'!$E$68,F68&gt;='Model Settings'!$E$68,K68&gt;='Model Settings'!$E$68),"Medium","Low")))</f>
        <v>Medium</v>
      </c>
      <c r="O68" s="34" t="str">
        <f aca="false">IF(N68="High","Contact player + review within 48h; stop marketing",IF(N68="Medium","Safer gambling message; monitor weekly","No action; routine monitoring"))</f>
        <v>Safer gambling message; monitor weekly</v>
      </c>
      <c r="P68" s="34" t="n">
        <f aca="false">IF(OR(N68="High",AND('Model Settings'!$E$70="High+Medium",N68="Medium")),1,0)</f>
        <v>0</v>
      </c>
      <c r="Q68" s="34" t="n">
        <f aca="false">'Player Data'!CM68</f>
        <v>0</v>
      </c>
    </row>
    <row r="69" customFormat="false" ht="15" hidden="false" customHeight="false" outlineLevel="0" collapsed="false">
      <c r="A69" s="49" t="str">
        <f aca="false">'Player Data'!A69</f>
        <v>P064</v>
      </c>
      <c r="B69" s="50" t="n">
        <f aca="false">ROUND(100*((N('Player Data'!U69)&gt;='Model Settings'!$E$5)*'Model Settings'!$F$5+(N('Player Data'!AT69)&gt;='Model Settings'!$E$6)*'Model Settings'!$F$6+(N('Player Data'!BI69)&gt;='Model Settings'!$E$7)*'Model Settings'!$F$7+(N('Player Data'!AL69)&gt;='Model Settings'!$E$8)*'Model Settings'!$F$8+(N('Player Data'!AH69)&gt;='Model Settings'!$E$9)*'Model Settings'!$F$9+(N('Player Data'!B69)&lt;='Model Settings'!$E$10)*'Model Settings'!$F$10+(N('Player Data'!M69)&gt;='Model Settings'!$E$11)*'Model Settings'!$F$11+(N('Player Data'!J69)&lt;='Model Settings'!$E$12)*'Model Settings'!$F$12+(N('Player Data'!V69)&gt;='Model Settings'!$E$13)*'Model Settings'!$F$13+(N('Player Data'!W69)&gt;='Model Settings'!$E$14)*'Model Settings'!$F$14+(N('Player Data'!AE69)&gt;='Model Settings'!$E$15)*'Model Settings'!$F$15+(N('Player Data'!BF69)&gt;='Model Settings'!$E$16)*'Model Settings'!$F$16+(N('Player Data'!AX69)&gt;='Model Settings'!$E$17)*'Model Settings'!$F$17+(N('Player Data'!AP69)&gt;='Model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69" s="34" t="str">
        <f aca="false">IF('Player Data'!E69&lt;='Model Settings'!$E$69,ROUND(100*((N('Player Data'!H69)&gt;='Model Settings'!$E$19)*'Model Settings'!$F$19+(N('Player Data'!S69)&gt;='Model Settings'!$E$20)*'Model Settings'!$F$20+(N('Player Data'!AH69)&gt;='Model Settings'!$E$21)*'Model Settings'!$F$21+(N('Player Data'!AX69)&gt;='Model Settings'!$E$22)*'Model Settings'!$F$22+(N('Player Data'!Y69)&gt;='Model Settings'!$E$23)*'Model Settings'!$F$23+(N('Player Data'!AM69)&gt;='Model Settings'!$E$24)*'Model Settings'!$F$24)/('Model Settings'!$F$19+'Model Settings'!$F$20+'Model Settings'!$F$21+'Model Settings'!$F$22+'Model Settings'!$F$23+'Model Settings'!$F$24),0),"n/a")</f>
        <v>n/a</v>
      </c>
      <c r="D69" s="50" t="n">
        <f aca="false">ROUND(100*((N('Player Data'!U69)&gt;='Model Settings'!$E$25)*'Model Settings'!$F$25+(N('Player Data'!V69)&gt;='Model Settings'!$E$26)*'Model Settings'!$F$26+(N('Player Data'!W69)&gt;='Model Settings'!$E$27)*'Model Settings'!$F$27+(N('Player Data'!AT69)&gt;='Model Settings'!$E$28)*'Model Settings'!$F$28+(N('Player Data'!AE69)&gt;='Model Settings'!$E$29)*'Model Settings'!$F$29+(N('Player Data'!AO69)&gt;='Model Settings'!$E$30)*'Model Settings'!$F$30+(N('Player Data'!AG69)&gt;='Model Settings'!$E$31)*'Model Settings'!$F$31)/('Model Settings'!$F$25+'Model Settings'!$F$26+'Model Settings'!$F$27+'Model Settings'!$F$28+'Model Settings'!$F$29+'Model Settings'!$F$30+'Model Settings'!$F$31),0)</f>
        <v>0</v>
      </c>
      <c r="E69" s="50" t="n">
        <f aca="false">ROUND(100*((N('Player Data'!Z69)&gt;='Model Settings'!$E$32)*'Model Settings'!$F$32+(N('Player Data'!BN69)&gt;='Model Settings'!$E$33)*'Model Settings'!$F$33+(N('Player Data'!BO69)&gt;='Model Settings'!$E$34)*'Model Settings'!$F$34+(N('Player Data'!BP69)&gt;='Model Settings'!$E$35)*'Model Settings'!$F$35+('Player Data'!BR69='Model Settings'!$E$36)*'Model Settings'!$F$36+(N('Player Data'!AW69)&gt;='Model Settings'!$E$37)*'Model Settings'!$F$37+(N('Player Data'!AF69)&lt;='Model Settings'!$E$38)*'Model Settings'!$F$38)/('Model Settings'!$F$32+'Model Settings'!$F$33+'Model Settings'!$F$34+'Model Settings'!$F$35+'Model Settings'!$F$36+'Model Settings'!$F$37+'Model Settings'!$F$38),0)</f>
        <v>14</v>
      </c>
      <c r="F69" s="50" t="n">
        <f aca="false">ROUND(100*((N('Player Data'!K69)&gt;='Model Settings'!$E$39)*'Model Settings'!$F$39+(N('Player Data'!P69)&gt;='Model Settings'!$E$40)*'Model Settings'!$F$40+(N('Player Data'!M69)&gt;='Model Settings'!$E$41)*'Model Settings'!$F$41+(N('Player Data'!AU69)&gt;='Model Settings'!$E$42)*'Model Settings'!$F$42+(N('Player Data'!CL69)&gt;='Model Settings'!$E$43)*'Model Settings'!$F$43+(N('Player Data'!Q69)&gt;='Model Settings'!$E$44)*'Model Settings'!$F$44)/('Model Settings'!$F$39+'Model Settings'!$F$40+'Model Settings'!$F$41+'Model Settings'!$F$42+'Model Settings'!$F$43+'Model Settings'!$F$44),0)</f>
        <v>33</v>
      </c>
      <c r="G69" s="50" t="n">
        <f aca="false">ROUND(100*((N('Player Data'!BE69)&gt;='Model Settings'!$E$45)*'Model Settings'!$F$45+(N('Player Data'!BH69)&gt;='Model Settings'!$E$46)*'Model Settings'!$F$46+(N('Player Data'!U69)&gt;='Model Settings'!$E$47)*'Model Settings'!$F$47+(N('Player Data'!BN69)&gt;='Model Settings'!$E$48)*'Model Settings'!$F$48+(N('Player Data'!AX69)&gt;='Model Settings'!$E$49)*'Model Settings'!$F$49+(N('Player Data'!BL69)&gt;='Model Settings'!$E$50)*'Model Settings'!$F$50+(N('Player Data'!BI69)&gt;='Model Settings'!$E$51)*'Model Settings'!$F$51)/('Model Settings'!$F$45+'Model Settings'!$F$46+'Model Settings'!$F$47+'Model Settings'!$F$48+'Model Settings'!$F$49+'Model Settings'!$F$50+'Model Settings'!$F$51),0)</f>
        <v>0</v>
      </c>
      <c r="H69" s="34" t="str">
        <f aca="false">IF(AND(B69&lt;'Model Settings'!$E$66,E69&lt;'Model Settings'!$E$68),"Non-problem",IF(E69&gt;='Model Settings'!$E$68,"Financially vulnerable",IF(OR(N('Player Data'!BY69)&gt;=1,N('Player Data'!BX69)&gt;=2,N('Player Data'!BW69)&gt;=3),"Emotionally vulnerable","At-risk")))</f>
        <v>Non-problem</v>
      </c>
      <c r="I69" s="34" t="str">
        <f aca="false">IF(OR(N('Player Data'!BY69)&gt;=1,'Player Data'!BZ69="Yes"),"Alert","None")</f>
        <v>None</v>
      </c>
      <c r="J69" s="34" t="str">
        <f aca="false">IF(OR(B69&gt;='Model Settings'!$E$67,'Player Data'!BM69="Yes",I69="Alert"),"Suppress",IF(AND(B69&gt;='Model Settings'!$E$66,'Player Data'!G69="Yes"),"Review VIP","Allow"))</f>
        <v>Allow</v>
      </c>
      <c r="K69" s="50" t="n">
        <f aca="false">ROUND(100*((N('Player Data'!CH69)&gt;='Model Settings'!$E$52)*'Model Settings'!$F$52+(N('Player Data'!CI69)&gt;='Model Settings'!$E$53)*'Model Settings'!$F$53+(N('Player Data'!R69)&gt;='Model Settings'!$E$54)*'Model Settings'!$F$54+(N('Player Data'!Y69)&gt;='Model Settings'!$E$55)*'Model Settings'!$F$55+(N('Player Data'!AS69)&gt;='Model Settings'!$E$56)*'Model Settings'!$F$56)/('Model Settings'!$F$52+'Model Settings'!$F$53+'Model Settings'!$F$54+'Model Settings'!$F$55+'Model Settings'!$F$56),0)</f>
        <v>0</v>
      </c>
      <c r="L69" s="34" t="n">
        <f aca="false">IF('Player Data'!D69="Spain",ROUND(100*((N('Player Data'!H69)&gt;='Model Settings'!$E$57)*'Model Settings'!$F$57+(N('Player Data'!AI69)&gt;='Model Settings'!$E$58)*'Model Settings'!$F$58+(N('Player Data'!AL69)&gt;='Model Settings'!$E$59)*'Model Settings'!$F$59+(N('Player Data'!M69)&gt;='Model Settings'!$E$60)*'Model Settings'!$F$60+(N('Player Data'!X69)&lt;='Model Settings'!$E$61)*'Model Settings'!$F$61+(N('Player Data'!Y69)&gt;='Model Settings'!$E$62)*'Model Settings'!$F$62+(N('Player Data'!P69)&gt;='Model Settings'!$E$63)*'Model Settings'!$F$63)/('Model Settings'!$F$57+'Model Settings'!$F$58+'Model Settings'!$F$59+'Model Settings'!$F$60+'Model Settings'!$F$61+'Model Settings'!$F$62+'Model Settings'!$F$63),0),"n/a")</f>
        <v>14</v>
      </c>
      <c r="M69" s="34" t="str">
        <f aca="false">IF('Player Data'!CA69="None","No contact yet",IF('Player Data'!CA69="Improved","Working",IF('Player Data'!CA69="No change","Review approach","Escalate")))</f>
        <v>No contact yet</v>
      </c>
      <c r="N69" s="49" t="str">
        <f aca="false">IF(OR('Player Data'!BM69="Yes",I69="Alert"),"High",IF(B69&gt;='Model Settings'!$E$67,"High",IF(OR(B69&gt;='Model Settings'!$E$66,D69&gt;='Model Settings'!$E$68,F69&gt;='Model Settings'!$E$68,K69&gt;='Model Settings'!$E$68),"Medium","Low")))</f>
        <v>Low</v>
      </c>
      <c r="O69" s="34" t="str">
        <f aca="false">IF(N69="High","Contact player + review within 48h; stop marketing",IF(N69="Medium","Safer gambling message; monitor weekly","No action; routine monitoring"))</f>
        <v>No action; routine monitoring</v>
      </c>
      <c r="P69" s="34" t="n">
        <f aca="false">IF(OR(N69="High",AND('Model Settings'!$E$70="High+Medium",N69="Medium")),1,0)</f>
        <v>0</v>
      </c>
      <c r="Q69" s="34" t="n">
        <f aca="false">'Player Data'!CM69</f>
        <v>0</v>
      </c>
    </row>
    <row r="70" customFormat="false" ht="15" hidden="false" customHeight="false" outlineLevel="0" collapsed="false">
      <c r="A70" s="49" t="str">
        <f aca="false">'Player Data'!A70</f>
        <v>P065</v>
      </c>
      <c r="B70" s="50" t="n">
        <f aca="false">ROUND(100*((N('Player Data'!U70)&gt;='Model Settings'!$E$5)*'Model Settings'!$F$5+(N('Player Data'!AT70)&gt;='Model Settings'!$E$6)*'Model Settings'!$F$6+(N('Player Data'!BI70)&gt;='Model Settings'!$E$7)*'Model Settings'!$F$7+(N('Player Data'!AL70)&gt;='Model Settings'!$E$8)*'Model Settings'!$F$8+(N('Player Data'!AH70)&gt;='Model Settings'!$E$9)*'Model Settings'!$F$9+(N('Player Data'!B70)&lt;='Model Settings'!$E$10)*'Model Settings'!$F$10+(N('Player Data'!M70)&gt;='Model Settings'!$E$11)*'Model Settings'!$F$11+(N('Player Data'!J70)&lt;='Model Settings'!$E$12)*'Model Settings'!$F$12+(N('Player Data'!V70)&gt;='Model Settings'!$E$13)*'Model Settings'!$F$13+(N('Player Data'!W70)&gt;='Model Settings'!$E$14)*'Model Settings'!$F$14+(N('Player Data'!AE70)&gt;='Model Settings'!$E$15)*'Model Settings'!$F$15+(N('Player Data'!BF70)&gt;='Model Settings'!$E$16)*'Model Settings'!$F$16+(N('Player Data'!AX70)&gt;='Model Settings'!$E$17)*'Model Settings'!$F$17+(N('Player Data'!AP70)&gt;='Model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70" s="34" t="str">
        <f aca="false">IF('Player Data'!E70&lt;='Model Settings'!$E$69,ROUND(100*((N('Player Data'!H70)&gt;='Model Settings'!$E$19)*'Model Settings'!$F$19+(N('Player Data'!S70)&gt;='Model Settings'!$E$20)*'Model Settings'!$F$20+(N('Player Data'!AH70)&gt;='Model Settings'!$E$21)*'Model Settings'!$F$21+(N('Player Data'!AX70)&gt;='Model Settings'!$E$22)*'Model Settings'!$F$22+(N('Player Data'!Y70)&gt;='Model Settings'!$E$23)*'Model Settings'!$F$23+(N('Player Data'!AM70)&gt;='Model Settings'!$E$24)*'Model Settings'!$F$24)/('Model Settings'!$F$19+'Model Settings'!$F$20+'Model Settings'!$F$21+'Model Settings'!$F$22+'Model Settings'!$F$23+'Model Settings'!$F$24),0),"n/a")</f>
        <v>n/a</v>
      </c>
      <c r="D70" s="50" t="n">
        <f aca="false">ROUND(100*((N('Player Data'!U70)&gt;='Model Settings'!$E$25)*'Model Settings'!$F$25+(N('Player Data'!V70)&gt;='Model Settings'!$E$26)*'Model Settings'!$F$26+(N('Player Data'!W70)&gt;='Model Settings'!$E$27)*'Model Settings'!$F$27+(N('Player Data'!AT70)&gt;='Model Settings'!$E$28)*'Model Settings'!$F$28+(N('Player Data'!AE70)&gt;='Model Settings'!$E$29)*'Model Settings'!$F$29+(N('Player Data'!AO70)&gt;='Model Settings'!$E$30)*'Model Settings'!$F$30+(N('Player Data'!AG70)&gt;='Model Settings'!$E$31)*'Model Settings'!$F$31)/('Model Settings'!$F$25+'Model Settings'!$F$26+'Model Settings'!$F$27+'Model Settings'!$F$28+'Model Settings'!$F$29+'Model Settings'!$F$30+'Model Settings'!$F$31),0)</f>
        <v>0</v>
      </c>
      <c r="E70" s="50" t="n">
        <f aca="false">ROUND(100*((N('Player Data'!Z70)&gt;='Model Settings'!$E$32)*'Model Settings'!$F$32+(N('Player Data'!BN70)&gt;='Model Settings'!$E$33)*'Model Settings'!$F$33+(N('Player Data'!BO70)&gt;='Model Settings'!$E$34)*'Model Settings'!$F$34+(N('Player Data'!BP70)&gt;='Model Settings'!$E$35)*'Model Settings'!$F$35+('Player Data'!BR70='Model Settings'!$E$36)*'Model Settings'!$F$36+(N('Player Data'!AW70)&gt;='Model Settings'!$E$37)*'Model Settings'!$F$37+(N('Player Data'!AF70)&lt;='Model Settings'!$E$38)*'Model Settings'!$F$38)/('Model Settings'!$F$32+'Model Settings'!$F$33+'Model Settings'!$F$34+'Model Settings'!$F$35+'Model Settings'!$F$36+'Model Settings'!$F$37+'Model Settings'!$F$38),0)</f>
        <v>0</v>
      </c>
      <c r="F70" s="50" t="n">
        <f aca="false">ROUND(100*((N('Player Data'!K70)&gt;='Model Settings'!$E$39)*'Model Settings'!$F$39+(N('Player Data'!P70)&gt;='Model Settings'!$E$40)*'Model Settings'!$F$40+(N('Player Data'!M70)&gt;='Model Settings'!$E$41)*'Model Settings'!$F$41+(N('Player Data'!AU70)&gt;='Model Settings'!$E$42)*'Model Settings'!$F$42+(N('Player Data'!CL70)&gt;='Model Settings'!$E$43)*'Model Settings'!$F$43+(N('Player Data'!Q70)&gt;='Model Settings'!$E$44)*'Model Settings'!$F$44)/('Model Settings'!$F$39+'Model Settings'!$F$40+'Model Settings'!$F$41+'Model Settings'!$F$42+'Model Settings'!$F$43+'Model Settings'!$F$44),0)</f>
        <v>0</v>
      </c>
      <c r="G70" s="50" t="n">
        <f aca="false">ROUND(100*((N('Player Data'!BE70)&gt;='Model Settings'!$E$45)*'Model Settings'!$F$45+(N('Player Data'!BH70)&gt;='Model Settings'!$E$46)*'Model Settings'!$F$46+(N('Player Data'!U70)&gt;='Model Settings'!$E$47)*'Model Settings'!$F$47+(N('Player Data'!BN70)&gt;='Model Settings'!$E$48)*'Model Settings'!$F$48+(N('Player Data'!AX70)&gt;='Model Settings'!$E$49)*'Model Settings'!$F$49+(N('Player Data'!BL70)&gt;='Model Settings'!$E$50)*'Model Settings'!$F$50+(N('Player Data'!BI70)&gt;='Model Settings'!$E$51)*'Model Settings'!$F$51)/('Model Settings'!$F$45+'Model Settings'!$F$46+'Model Settings'!$F$47+'Model Settings'!$F$48+'Model Settings'!$F$49+'Model Settings'!$F$50+'Model Settings'!$F$51),0)</f>
        <v>0</v>
      </c>
      <c r="H70" s="34" t="str">
        <f aca="false">IF(AND(B70&lt;'Model Settings'!$E$66,E70&lt;'Model Settings'!$E$68),"Non-problem",IF(E70&gt;='Model Settings'!$E$68,"Financially vulnerable",IF(OR(N('Player Data'!BY70)&gt;=1,N('Player Data'!BX70)&gt;=2,N('Player Data'!BW70)&gt;=3),"Emotionally vulnerable","At-risk")))</f>
        <v>Non-problem</v>
      </c>
      <c r="I70" s="34" t="str">
        <f aca="false">IF(OR(N('Player Data'!BY70)&gt;=1,'Player Data'!BZ70="Yes"),"Alert","None")</f>
        <v>None</v>
      </c>
      <c r="J70" s="34" t="str">
        <f aca="false">IF(OR(B70&gt;='Model Settings'!$E$67,'Player Data'!BM70="Yes",I70="Alert"),"Suppress",IF(AND(B70&gt;='Model Settings'!$E$66,'Player Data'!G70="Yes"),"Review VIP","Allow"))</f>
        <v>Allow</v>
      </c>
      <c r="K70" s="50" t="n">
        <f aca="false">ROUND(100*((N('Player Data'!CH70)&gt;='Model Settings'!$E$52)*'Model Settings'!$F$52+(N('Player Data'!CI70)&gt;='Model Settings'!$E$53)*'Model Settings'!$F$53+(N('Player Data'!R70)&gt;='Model Settings'!$E$54)*'Model Settings'!$F$54+(N('Player Data'!Y70)&gt;='Model Settings'!$E$55)*'Model Settings'!$F$55+(N('Player Data'!AS70)&gt;='Model Settings'!$E$56)*'Model Settings'!$F$56)/('Model Settings'!$F$52+'Model Settings'!$F$53+'Model Settings'!$F$54+'Model Settings'!$F$55+'Model Settings'!$F$56),0)</f>
        <v>20</v>
      </c>
      <c r="L70" s="34" t="str">
        <f aca="false">IF('Player Data'!D70="Spain",ROUND(100*((N('Player Data'!H70)&gt;='Model Settings'!$E$57)*'Model Settings'!$F$57+(N('Player Data'!AI70)&gt;='Model Settings'!$E$58)*'Model Settings'!$F$58+(N('Player Data'!AL70)&gt;='Model Settings'!$E$59)*'Model Settings'!$F$59+(N('Player Data'!M70)&gt;='Model Settings'!$E$60)*'Model Settings'!$F$60+(N('Player Data'!X70)&lt;='Model Settings'!$E$61)*'Model Settings'!$F$61+(N('Player Data'!Y70)&gt;='Model Settings'!$E$62)*'Model Settings'!$F$62+(N('Player Data'!P70)&gt;='Model Settings'!$E$63)*'Model Settings'!$F$63)/('Model Settings'!$F$57+'Model Settings'!$F$58+'Model Settings'!$F$59+'Model Settings'!$F$60+'Model Settings'!$F$61+'Model Settings'!$F$62+'Model Settings'!$F$63),0),"n/a")</f>
        <v>n/a</v>
      </c>
      <c r="M70" s="34" t="str">
        <f aca="false">IF('Player Data'!CA70="None","No contact yet",IF('Player Data'!CA70="Improved","Working",IF('Player Data'!CA70="No change","Review approach","Escalate")))</f>
        <v>No contact yet</v>
      </c>
      <c r="N70" s="49" t="str">
        <f aca="false">IF(OR('Player Data'!BM70="Yes",I70="Alert"),"High",IF(B70&gt;='Model Settings'!$E$67,"High",IF(OR(B70&gt;='Model Settings'!$E$66,D70&gt;='Model Settings'!$E$68,F70&gt;='Model Settings'!$E$68,K70&gt;='Model Settings'!$E$68),"Medium","Low")))</f>
        <v>Low</v>
      </c>
      <c r="O70" s="34" t="str">
        <f aca="false">IF(N70="High","Contact player + review within 48h; stop marketing",IF(N70="Medium","Safer gambling message; monitor weekly","No action; routine monitoring"))</f>
        <v>No action; routine monitoring</v>
      </c>
      <c r="P70" s="34" t="n">
        <f aca="false">IF(OR(N70="High",AND('Model Settings'!$E$70="High+Medium",N70="Medium")),1,0)</f>
        <v>0</v>
      </c>
      <c r="Q70" s="34" t="n">
        <f aca="false">'Player Data'!CM70</f>
        <v>0</v>
      </c>
    </row>
    <row r="71" customFormat="false" ht="15" hidden="false" customHeight="false" outlineLevel="0" collapsed="false">
      <c r="A71" s="49" t="str">
        <f aca="false">'Player Data'!A71</f>
        <v>P066</v>
      </c>
      <c r="B71" s="50" t="n">
        <f aca="false">ROUND(100*((N('Player Data'!U71)&gt;='Model Settings'!$E$5)*'Model Settings'!$F$5+(N('Player Data'!AT71)&gt;='Model Settings'!$E$6)*'Model Settings'!$F$6+(N('Player Data'!BI71)&gt;='Model Settings'!$E$7)*'Model Settings'!$F$7+(N('Player Data'!AL71)&gt;='Model Settings'!$E$8)*'Model Settings'!$F$8+(N('Player Data'!AH71)&gt;='Model Settings'!$E$9)*'Model Settings'!$F$9+(N('Player Data'!B71)&lt;='Model Settings'!$E$10)*'Model Settings'!$F$10+(N('Player Data'!M71)&gt;='Model Settings'!$E$11)*'Model Settings'!$F$11+(N('Player Data'!J71)&lt;='Model Settings'!$E$12)*'Model Settings'!$F$12+(N('Player Data'!V71)&gt;='Model Settings'!$E$13)*'Model Settings'!$F$13+(N('Player Data'!W71)&gt;='Model Settings'!$E$14)*'Model Settings'!$F$14+(N('Player Data'!AE71)&gt;='Model Settings'!$E$15)*'Model Settings'!$F$15+(N('Player Data'!BF71)&gt;='Model Settings'!$E$16)*'Model Settings'!$F$16+(N('Player Data'!AX71)&gt;='Model Settings'!$E$17)*'Model Settings'!$F$17+(N('Player Data'!AP71)&gt;='Model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71" s="34" t="n">
        <f aca="false">IF('Player Data'!E71&lt;='Model Settings'!$E$69,ROUND(100*((N('Player Data'!H71)&gt;='Model Settings'!$E$19)*'Model Settings'!$F$19+(N('Player Data'!S71)&gt;='Model Settings'!$E$20)*'Model Settings'!$F$20+(N('Player Data'!AH71)&gt;='Model Settings'!$E$21)*'Model Settings'!$F$21+(N('Player Data'!AX71)&gt;='Model Settings'!$E$22)*'Model Settings'!$F$22+(N('Player Data'!Y71)&gt;='Model Settings'!$E$23)*'Model Settings'!$F$23+(N('Player Data'!AM71)&gt;='Model Settings'!$E$24)*'Model Settings'!$F$24)/('Model Settings'!$F$19+'Model Settings'!$F$20+'Model Settings'!$F$21+'Model Settings'!$F$22+'Model Settings'!$F$23+'Model Settings'!$F$24),0),"n/a")</f>
        <v>0</v>
      </c>
      <c r="D71" s="50" t="n">
        <f aca="false">ROUND(100*((N('Player Data'!U71)&gt;='Model Settings'!$E$25)*'Model Settings'!$F$25+(N('Player Data'!V71)&gt;='Model Settings'!$E$26)*'Model Settings'!$F$26+(N('Player Data'!W71)&gt;='Model Settings'!$E$27)*'Model Settings'!$F$27+(N('Player Data'!AT71)&gt;='Model Settings'!$E$28)*'Model Settings'!$F$28+(N('Player Data'!AE71)&gt;='Model Settings'!$E$29)*'Model Settings'!$F$29+(N('Player Data'!AO71)&gt;='Model Settings'!$E$30)*'Model Settings'!$F$30+(N('Player Data'!AG71)&gt;='Model Settings'!$E$31)*'Model Settings'!$F$31)/('Model Settings'!$F$25+'Model Settings'!$F$26+'Model Settings'!$F$27+'Model Settings'!$F$28+'Model Settings'!$F$29+'Model Settings'!$F$30+'Model Settings'!$F$31),0)</f>
        <v>14</v>
      </c>
      <c r="E71" s="50" t="n">
        <f aca="false">ROUND(100*((N('Player Data'!Z71)&gt;='Model Settings'!$E$32)*'Model Settings'!$F$32+(N('Player Data'!BN71)&gt;='Model Settings'!$E$33)*'Model Settings'!$F$33+(N('Player Data'!BO71)&gt;='Model Settings'!$E$34)*'Model Settings'!$F$34+(N('Player Data'!BP71)&gt;='Model Settings'!$E$35)*'Model Settings'!$F$35+('Player Data'!BR71='Model Settings'!$E$36)*'Model Settings'!$F$36+(N('Player Data'!AW71)&gt;='Model Settings'!$E$37)*'Model Settings'!$F$37+(N('Player Data'!AF71)&lt;='Model Settings'!$E$38)*'Model Settings'!$F$38)/('Model Settings'!$F$32+'Model Settings'!$F$33+'Model Settings'!$F$34+'Model Settings'!$F$35+'Model Settings'!$F$36+'Model Settings'!$F$37+'Model Settings'!$F$38),0)</f>
        <v>14</v>
      </c>
      <c r="F71" s="50" t="n">
        <f aca="false">ROUND(100*((N('Player Data'!K71)&gt;='Model Settings'!$E$39)*'Model Settings'!$F$39+(N('Player Data'!P71)&gt;='Model Settings'!$E$40)*'Model Settings'!$F$40+(N('Player Data'!M71)&gt;='Model Settings'!$E$41)*'Model Settings'!$F$41+(N('Player Data'!AU71)&gt;='Model Settings'!$E$42)*'Model Settings'!$F$42+(N('Player Data'!CL71)&gt;='Model Settings'!$E$43)*'Model Settings'!$F$43+(N('Player Data'!Q71)&gt;='Model Settings'!$E$44)*'Model Settings'!$F$44)/('Model Settings'!$F$39+'Model Settings'!$F$40+'Model Settings'!$F$41+'Model Settings'!$F$42+'Model Settings'!$F$43+'Model Settings'!$F$44),0)</f>
        <v>33</v>
      </c>
      <c r="G71" s="50" t="n">
        <f aca="false">ROUND(100*((N('Player Data'!BE71)&gt;='Model Settings'!$E$45)*'Model Settings'!$F$45+(N('Player Data'!BH71)&gt;='Model Settings'!$E$46)*'Model Settings'!$F$46+(N('Player Data'!U71)&gt;='Model Settings'!$E$47)*'Model Settings'!$F$47+(N('Player Data'!BN71)&gt;='Model Settings'!$E$48)*'Model Settings'!$F$48+(N('Player Data'!AX71)&gt;='Model Settings'!$E$49)*'Model Settings'!$F$49+(N('Player Data'!BL71)&gt;='Model Settings'!$E$50)*'Model Settings'!$F$50+(N('Player Data'!BI71)&gt;='Model Settings'!$E$51)*'Model Settings'!$F$51)/('Model Settings'!$F$45+'Model Settings'!$F$46+'Model Settings'!$F$47+'Model Settings'!$F$48+'Model Settings'!$F$49+'Model Settings'!$F$50+'Model Settings'!$F$51),0)</f>
        <v>14</v>
      </c>
      <c r="H71" s="34" t="str">
        <f aca="false">IF(AND(B71&lt;'Model Settings'!$E$66,E71&lt;'Model Settings'!$E$68),"Non-problem",IF(E71&gt;='Model Settings'!$E$68,"Financially vulnerable",IF(OR(N('Player Data'!BY71)&gt;=1,N('Player Data'!BX71)&gt;=2,N('Player Data'!BW71)&gt;=3),"Emotionally vulnerable","At-risk")))</f>
        <v>Non-problem</v>
      </c>
      <c r="I71" s="34" t="str">
        <f aca="false">IF(OR(N('Player Data'!BY71)&gt;=1,'Player Data'!BZ71="Yes"),"Alert","None")</f>
        <v>None</v>
      </c>
      <c r="J71" s="34" t="str">
        <f aca="false">IF(OR(B71&gt;='Model Settings'!$E$67,'Player Data'!BM71="Yes",I71="Alert"),"Suppress",IF(AND(B71&gt;='Model Settings'!$E$66,'Player Data'!G71="Yes"),"Review VIP","Allow"))</f>
        <v>Allow</v>
      </c>
      <c r="K71" s="50" t="n">
        <f aca="false">ROUND(100*((N('Player Data'!CH71)&gt;='Model Settings'!$E$52)*'Model Settings'!$F$52+(N('Player Data'!CI71)&gt;='Model Settings'!$E$53)*'Model Settings'!$F$53+(N('Player Data'!R71)&gt;='Model Settings'!$E$54)*'Model Settings'!$F$54+(N('Player Data'!Y71)&gt;='Model Settings'!$E$55)*'Model Settings'!$F$55+(N('Player Data'!AS71)&gt;='Model Settings'!$E$56)*'Model Settings'!$F$56)/('Model Settings'!$F$52+'Model Settings'!$F$53+'Model Settings'!$F$54+'Model Settings'!$F$55+'Model Settings'!$F$56),0)</f>
        <v>20</v>
      </c>
      <c r="L71" s="34" t="str">
        <f aca="false">IF('Player Data'!D71="Spain",ROUND(100*((N('Player Data'!H71)&gt;='Model Settings'!$E$57)*'Model Settings'!$F$57+(N('Player Data'!AI71)&gt;='Model Settings'!$E$58)*'Model Settings'!$F$58+(N('Player Data'!AL71)&gt;='Model Settings'!$E$59)*'Model Settings'!$F$59+(N('Player Data'!M71)&gt;='Model Settings'!$E$60)*'Model Settings'!$F$60+(N('Player Data'!X71)&lt;='Model Settings'!$E$61)*'Model Settings'!$F$61+(N('Player Data'!Y71)&gt;='Model Settings'!$E$62)*'Model Settings'!$F$62+(N('Player Data'!P71)&gt;='Model Settings'!$E$63)*'Model Settings'!$F$63)/('Model Settings'!$F$57+'Model Settings'!$F$58+'Model Settings'!$F$59+'Model Settings'!$F$60+'Model Settings'!$F$61+'Model Settings'!$F$62+'Model Settings'!$F$63),0),"n/a")</f>
        <v>n/a</v>
      </c>
      <c r="M71" s="34" t="str">
        <f aca="false">IF('Player Data'!CA71="None","No contact yet",IF('Player Data'!CA71="Improved","Working",IF('Player Data'!CA71="No change","Review approach","Escalate")))</f>
        <v>No contact yet</v>
      </c>
      <c r="N71" s="49" t="str">
        <f aca="false">IF(OR('Player Data'!BM71="Yes",I71="Alert"),"High",IF(B71&gt;='Model Settings'!$E$67,"High",IF(OR(B71&gt;='Model Settings'!$E$66,D71&gt;='Model Settings'!$E$68,F71&gt;='Model Settings'!$E$68,K71&gt;='Model Settings'!$E$68),"Medium","Low")))</f>
        <v>Low</v>
      </c>
      <c r="O71" s="34" t="str">
        <f aca="false">IF(N71="High","Contact player + review within 48h; stop marketing",IF(N71="Medium","Safer gambling message; monitor weekly","No action; routine monitoring"))</f>
        <v>No action; routine monitoring</v>
      </c>
      <c r="P71" s="34" t="n">
        <f aca="false">IF(OR(N71="High",AND('Model Settings'!$E$70="High+Medium",N71="Medium")),1,0)</f>
        <v>0</v>
      </c>
      <c r="Q71" s="34" t="n">
        <f aca="false">'Player Data'!CM71</f>
        <v>0</v>
      </c>
    </row>
    <row r="72" customFormat="false" ht="15" hidden="false" customHeight="false" outlineLevel="0" collapsed="false">
      <c r="A72" s="49" t="str">
        <f aca="false">'Player Data'!A72</f>
        <v>P067</v>
      </c>
      <c r="B72" s="50" t="n">
        <f aca="false">ROUND(100*((N('Player Data'!U72)&gt;='Model Settings'!$E$5)*'Model Settings'!$F$5+(N('Player Data'!AT72)&gt;='Model Settings'!$E$6)*'Model Settings'!$F$6+(N('Player Data'!BI72)&gt;='Model Settings'!$E$7)*'Model Settings'!$F$7+(N('Player Data'!AL72)&gt;='Model Settings'!$E$8)*'Model Settings'!$F$8+(N('Player Data'!AH72)&gt;='Model Settings'!$E$9)*'Model Settings'!$F$9+(N('Player Data'!B72)&lt;='Model Settings'!$E$10)*'Model Settings'!$F$10+(N('Player Data'!M72)&gt;='Model Settings'!$E$11)*'Model Settings'!$F$11+(N('Player Data'!J72)&lt;='Model Settings'!$E$12)*'Model Settings'!$F$12+(N('Player Data'!V72)&gt;='Model Settings'!$E$13)*'Model Settings'!$F$13+(N('Player Data'!W72)&gt;='Model Settings'!$E$14)*'Model Settings'!$F$14+(N('Player Data'!AE72)&gt;='Model Settings'!$E$15)*'Model Settings'!$F$15+(N('Player Data'!BF72)&gt;='Model Settings'!$E$16)*'Model Settings'!$F$16+(N('Player Data'!AX72)&gt;='Model Settings'!$E$17)*'Model Settings'!$F$17+(N('Player Data'!AP72)&gt;='Model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67</v>
      </c>
      <c r="C72" s="34" t="str">
        <f aca="false">IF('Player Data'!E72&lt;='Model Settings'!$E$69,ROUND(100*((N('Player Data'!H72)&gt;='Model Settings'!$E$19)*'Model Settings'!$F$19+(N('Player Data'!S72)&gt;='Model Settings'!$E$20)*'Model Settings'!$F$20+(N('Player Data'!AH72)&gt;='Model Settings'!$E$21)*'Model Settings'!$F$21+(N('Player Data'!AX72)&gt;='Model Settings'!$E$22)*'Model Settings'!$F$22+(N('Player Data'!Y72)&gt;='Model Settings'!$E$23)*'Model Settings'!$F$23+(N('Player Data'!AM72)&gt;='Model Settings'!$E$24)*'Model Settings'!$F$24)/('Model Settings'!$F$19+'Model Settings'!$F$20+'Model Settings'!$F$21+'Model Settings'!$F$22+'Model Settings'!$F$23+'Model Settings'!$F$24),0),"n/a")</f>
        <v>n/a</v>
      </c>
      <c r="D72" s="50" t="n">
        <f aca="false">ROUND(100*((N('Player Data'!U72)&gt;='Model Settings'!$E$25)*'Model Settings'!$F$25+(N('Player Data'!V72)&gt;='Model Settings'!$E$26)*'Model Settings'!$F$26+(N('Player Data'!W72)&gt;='Model Settings'!$E$27)*'Model Settings'!$F$27+(N('Player Data'!AT72)&gt;='Model Settings'!$E$28)*'Model Settings'!$F$28+(N('Player Data'!AE72)&gt;='Model Settings'!$E$29)*'Model Settings'!$F$29+(N('Player Data'!AO72)&gt;='Model Settings'!$E$30)*'Model Settings'!$F$30+(N('Player Data'!AG72)&gt;='Model Settings'!$E$31)*'Model Settings'!$F$31)/('Model Settings'!$F$25+'Model Settings'!$F$26+'Model Settings'!$F$27+'Model Settings'!$F$28+'Model Settings'!$F$29+'Model Settings'!$F$30+'Model Settings'!$F$31),0)</f>
        <v>86</v>
      </c>
      <c r="E72" s="50" t="n">
        <f aca="false">ROUND(100*((N('Player Data'!Z72)&gt;='Model Settings'!$E$32)*'Model Settings'!$F$32+(N('Player Data'!BN72)&gt;='Model Settings'!$E$33)*'Model Settings'!$F$33+(N('Player Data'!BO72)&gt;='Model Settings'!$E$34)*'Model Settings'!$F$34+(N('Player Data'!BP72)&gt;='Model Settings'!$E$35)*'Model Settings'!$F$35+('Player Data'!BR72='Model Settings'!$E$36)*'Model Settings'!$F$36+(N('Player Data'!AW72)&gt;='Model Settings'!$E$37)*'Model Settings'!$F$37+(N('Player Data'!AF72)&lt;='Model Settings'!$E$38)*'Model Settings'!$F$38)/('Model Settings'!$F$32+'Model Settings'!$F$33+'Model Settings'!$F$34+'Model Settings'!$F$35+'Model Settings'!$F$36+'Model Settings'!$F$37+'Model Settings'!$F$38),0)</f>
        <v>29</v>
      </c>
      <c r="F72" s="50" t="n">
        <f aca="false">ROUND(100*((N('Player Data'!K72)&gt;='Model Settings'!$E$39)*'Model Settings'!$F$39+(N('Player Data'!P72)&gt;='Model Settings'!$E$40)*'Model Settings'!$F$40+(N('Player Data'!M72)&gt;='Model Settings'!$E$41)*'Model Settings'!$F$41+(N('Player Data'!AU72)&gt;='Model Settings'!$E$42)*'Model Settings'!$F$42+(N('Player Data'!CL72)&gt;='Model Settings'!$E$43)*'Model Settings'!$F$43+(N('Player Data'!Q72)&gt;='Model Settings'!$E$44)*'Model Settings'!$F$44)/('Model Settings'!$F$39+'Model Settings'!$F$40+'Model Settings'!$F$41+'Model Settings'!$F$42+'Model Settings'!$F$43+'Model Settings'!$F$44),0)</f>
        <v>50</v>
      </c>
      <c r="G72" s="50" t="n">
        <f aca="false">ROUND(100*((N('Player Data'!BE72)&gt;='Model Settings'!$E$45)*'Model Settings'!$F$45+(N('Player Data'!BH72)&gt;='Model Settings'!$E$46)*'Model Settings'!$F$46+(N('Player Data'!U72)&gt;='Model Settings'!$E$47)*'Model Settings'!$F$47+(N('Player Data'!BN72)&gt;='Model Settings'!$E$48)*'Model Settings'!$F$48+(N('Player Data'!AX72)&gt;='Model Settings'!$E$49)*'Model Settings'!$F$49+(N('Player Data'!BL72)&gt;='Model Settings'!$E$50)*'Model Settings'!$F$50+(N('Player Data'!BI72)&gt;='Model Settings'!$E$51)*'Model Settings'!$F$51)/('Model Settings'!$F$45+'Model Settings'!$F$46+'Model Settings'!$F$47+'Model Settings'!$F$48+'Model Settings'!$F$49+'Model Settings'!$F$50+'Model Settings'!$F$51),0)</f>
        <v>43</v>
      </c>
      <c r="H72" s="34" t="str">
        <f aca="false">IF(AND(B72&lt;'Model Settings'!$E$66,E72&lt;'Model Settings'!$E$68),"Non-problem",IF(E72&gt;='Model Settings'!$E$68,"Financially vulnerable",IF(OR(N('Player Data'!BY72)&gt;=1,N('Player Data'!BX72)&gt;=2,N('Player Data'!BW72)&gt;=3),"Emotionally vulnerable","At-risk")))</f>
        <v>Emotionally vulnerable</v>
      </c>
      <c r="I72" s="34" t="str">
        <f aca="false">IF(OR(N('Player Data'!BY72)&gt;=1,'Player Data'!BZ72="Yes"),"Alert","None")</f>
        <v>None</v>
      </c>
      <c r="J72" s="34" t="str">
        <f aca="false">IF(OR(B72&gt;='Model Settings'!$E$67,'Player Data'!BM72="Yes",I72="Alert"),"Suppress",IF(AND(B72&gt;='Model Settings'!$E$66,'Player Data'!G72="Yes"),"Review VIP","Allow"))</f>
        <v>Suppress</v>
      </c>
      <c r="K72" s="50" t="n">
        <f aca="false">ROUND(100*((N('Player Data'!CH72)&gt;='Model Settings'!$E$52)*'Model Settings'!$F$52+(N('Player Data'!CI72)&gt;='Model Settings'!$E$53)*'Model Settings'!$F$53+(N('Player Data'!R72)&gt;='Model Settings'!$E$54)*'Model Settings'!$F$54+(N('Player Data'!Y72)&gt;='Model Settings'!$E$55)*'Model Settings'!$F$55+(N('Player Data'!AS72)&gt;='Model Settings'!$E$56)*'Model Settings'!$F$56)/('Model Settings'!$F$52+'Model Settings'!$F$53+'Model Settings'!$F$54+'Model Settings'!$F$55+'Model Settings'!$F$56),0)</f>
        <v>20</v>
      </c>
      <c r="L72" s="34" t="str">
        <f aca="false">IF('Player Data'!D72="Spain",ROUND(100*((N('Player Data'!H72)&gt;='Model Settings'!$E$57)*'Model Settings'!$F$57+(N('Player Data'!AI72)&gt;='Model Settings'!$E$58)*'Model Settings'!$F$58+(N('Player Data'!AL72)&gt;='Model Settings'!$E$59)*'Model Settings'!$F$59+(N('Player Data'!M72)&gt;='Model Settings'!$E$60)*'Model Settings'!$F$60+(N('Player Data'!X72)&lt;='Model Settings'!$E$61)*'Model Settings'!$F$61+(N('Player Data'!Y72)&gt;='Model Settings'!$E$62)*'Model Settings'!$F$62+(N('Player Data'!P72)&gt;='Model Settings'!$E$63)*'Model Settings'!$F$63)/('Model Settings'!$F$57+'Model Settings'!$F$58+'Model Settings'!$F$59+'Model Settings'!$F$60+'Model Settings'!$F$61+'Model Settings'!$F$62+'Model Settings'!$F$63),0),"n/a")</f>
        <v>n/a</v>
      </c>
      <c r="M72" s="34" t="str">
        <f aca="false">IF('Player Data'!CA72="None","No contact yet",IF('Player Data'!CA72="Improved","Working",IF('Player Data'!CA72="No change","Review approach","Escalate")))</f>
        <v>Review approach</v>
      </c>
      <c r="N72" s="49" t="str">
        <f aca="false">IF(OR('Player Data'!BM72="Yes",I72="Alert"),"High",IF(B72&gt;='Model Settings'!$E$67,"High",IF(OR(B72&gt;='Model Settings'!$E$66,D72&gt;='Model Settings'!$E$68,F72&gt;='Model Settings'!$E$68,K72&gt;='Model Settings'!$E$68),"Medium","Low")))</f>
        <v>High</v>
      </c>
      <c r="O72" s="34" t="str">
        <f aca="false">IF(N72="High","Contact player + review within 48h; stop marketing",IF(N72="Medium","Safer gambling message; monitor weekly","No action; routine monitoring"))</f>
        <v>Contact player + review within 48h; stop marketing</v>
      </c>
      <c r="P72" s="34" t="n">
        <f aca="false">IF(OR(N72="High",AND('Model Settings'!$E$70="High+Medium",N72="Medium")),1,0)</f>
        <v>1</v>
      </c>
      <c r="Q72" s="34" t="n">
        <f aca="false">'Player Data'!CM72</f>
        <v>1</v>
      </c>
    </row>
    <row r="73" customFormat="false" ht="15" hidden="false" customHeight="false" outlineLevel="0" collapsed="false">
      <c r="A73" s="49" t="str">
        <f aca="false">'Player Data'!A73</f>
        <v>P068</v>
      </c>
      <c r="B73" s="50" t="n">
        <f aca="false">ROUND(100*((N('Player Data'!U73)&gt;='Model Settings'!$E$5)*'Model Settings'!$F$5+(N('Player Data'!AT73)&gt;='Model Settings'!$E$6)*'Model Settings'!$F$6+(N('Player Data'!BI73)&gt;='Model Settings'!$E$7)*'Model Settings'!$F$7+(N('Player Data'!AL73)&gt;='Model Settings'!$E$8)*'Model Settings'!$F$8+(N('Player Data'!AH73)&gt;='Model Settings'!$E$9)*'Model Settings'!$F$9+(N('Player Data'!B73)&lt;='Model Settings'!$E$10)*'Model Settings'!$F$10+(N('Player Data'!M73)&gt;='Model Settings'!$E$11)*'Model Settings'!$F$11+(N('Player Data'!J73)&lt;='Model Settings'!$E$12)*'Model Settings'!$F$12+(N('Player Data'!V73)&gt;='Model Settings'!$E$13)*'Model Settings'!$F$13+(N('Player Data'!W73)&gt;='Model Settings'!$E$14)*'Model Settings'!$F$14+(N('Player Data'!AE73)&gt;='Model Settings'!$E$15)*'Model Settings'!$F$15+(N('Player Data'!BF73)&gt;='Model Settings'!$E$16)*'Model Settings'!$F$16+(N('Player Data'!AX73)&gt;='Model Settings'!$E$17)*'Model Settings'!$F$17+(N('Player Data'!AP73)&gt;='Model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56</v>
      </c>
      <c r="C73" s="34" t="str">
        <f aca="false">IF('Player Data'!E73&lt;='Model Settings'!$E$69,ROUND(100*((N('Player Data'!H73)&gt;='Model Settings'!$E$19)*'Model Settings'!$F$19+(N('Player Data'!S73)&gt;='Model Settings'!$E$20)*'Model Settings'!$F$20+(N('Player Data'!AH73)&gt;='Model Settings'!$E$21)*'Model Settings'!$F$21+(N('Player Data'!AX73)&gt;='Model Settings'!$E$22)*'Model Settings'!$F$22+(N('Player Data'!Y73)&gt;='Model Settings'!$E$23)*'Model Settings'!$F$23+(N('Player Data'!AM73)&gt;='Model Settings'!$E$24)*'Model Settings'!$F$24)/('Model Settings'!$F$19+'Model Settings'!$F$20+'Model Settings'!$F$21+'Model Settings'!$F$22+'Model Settings'!$F$23+'Model Settings'!$F$24),0),"n/a")</f>
        <v>n/a</v>
      </c>
      <c r="D73" s="50" t="n">
        <f aca="false">ROUND(100*((N('Player Data'!U73)&gt;='Model Settings'!$E$25)*'Model Settings'!$F$25+(N('Player Data'!V73)&gt;='Model Settings'!$E$26)*'Model Settings'!$F$26+(N('Player Data'!W73)&gt;='Model Settings'!$E$27)*'Model Settings'!$F$27+(N('Player Data'!AT73)&gt;='Model Settings'!$E$28)*'Model Settings'!$F$28+(N('Player Data'!AE73)&gt;='Model Settings'!$E$29)*'Model Settings'!$F$29+(N('Player Data'!AO73)&gt;='Model Settings'!$E$30)*'Model Settings'!$F$30+(N('Player Data'!AG73)&gt;='Model Settings'!$E$31)*'Model Settings'!$F$31)/('Model Settings'!$F$25+'Model Settings'!$F$26+'Model Settings'!$F$27+'Model Settings'!$F$28+'Model Settings'!$F$29+'Model Settings'!$F$30+'Model Settings'!$F$31),0)</f>
        <v>86</v>
      </c>
      <c r="E73" s="50" t="n">
        <f aca="false">ROUND(100*((N('Player Data'!Z73)&gt;='Model Settings'!$E$32)*'Model Settings'!$F$32+(N('Player Data'!BN73)&gt;='Model Settings'!$E$33)*'Model Settings'!$F$33+(N('Player Data'!BO73)&gt;='Model Settings'!$E$34)*'Model Settings'!$F$34+(N('Player Data'!BP73)&gt;='Model Settings'!$E$35)*'Model Settings'!$F$35+('Player Data'!BR73='Model Settings'!$E$36)*'Model Settings'!$F$36+(N('Player Data'!AW73)&gt;='Model Settings'!$E$37)*'Model Settings'!$F$37+(N('Player Data'!AF73)&lt;='Model Settings'!$E$38)*'Model Settings'!$F$38)/('Model Settings'!$F$32+'Model Settings'!$F$33+'Model Settings'!$F$34+'Model Settings'!$F$35+'Model Settings'!$F$36+'Model Settings'!$F$37+'Model Settings'!$F$38),0)</f>
        <v>29</v>
      </c>
      <c r="F73" s="50" t="n">
        <f aca="false">ROUND(100*((N('Player Data'!K73)&gt;='Model Settings'!$E$39)*'Model Settings'!$F$39+(N('Player Data'!P73)&gt;='Model Settings'!$E$40)*'Model Settings'!$F$40+(N('Player Data'!M73)&gt;='Model Settings'!$E$41)*'Model Settings'!$F$41+(N('Player Data'!AU73)&gt;='Model Settings'!$E$42)*'Model Settings'!$F$42+(N('Player Data'!CL73)&gt;='Model Settings'!$E$43)*'Model Settings'!$F$43+(N('Player Data'!Q73)&gt;='Model Settings'!$E$44)*'Model Settings'!$F$44)/('Model Settings'!$F$39+'Model Settings'!$F$40+'Model Settings'!$F$41+'Model Settings'!$F$42+'Model Settings'!$F$43+'Model Settings'!$F$44),0)</f>
        <v>83</v>
      </c>
      <c r="G73" s="50" t="n">
        <f aca="false">ROUND(100*((N('Player Data'!BE73)&gt;='Model Settings'!$E$45)*'Model Settings'!$F$45+(N('Player Data'!BH73)&gt;='Model Settings'!$E$46)*'Model Settings'!$F$46+(N('Player Data'!U73)&gt;='Model Settings'!$E$47)*'Model Settings'!$F$47+(N('Player Data'!BN73)&gt;='Model Settings'!$E$48)*'Model Settings'!$F$48+(N('Player Data'!AX73)&gt;='Model Settings'!$E$49)*'Model Settings'!$F$49+(N('Player Data'!BL73)&gt;='Model Settings'!$E$50)*'Model Settings'!$F$50+(N('Player Data'!BI73)&gt;='Model Settings'!$E$51)*'Model Settings'!$F$51)/('Model Settings'!$F$45+'Model Settings'!$F$46+'Model Settings'!$F$47+'Model Settings'!$F$48+'Model Settings'!$F$49+'Model Settings'!$F$50+'Model Settings'!$F$51),0)</f>
        <v>43</v>
      </c>
      <c r="H73" s="34" t="str">
        <f aca="false">IF(AND(B73&lt;'Model Settings'!$E$66,E73&lt;'Model Settings'!$E$68),"Non-problem",IF(E73&gt;='Model Settings'!$E$68,"Financially vulnerable",IF(OR(N('Player Data'!BY73)&gt;=1,N('Player Data'!BX73)&gt;=2,N('Player Data'!BW73)&gt;=3),"Emotionally vulnerable","At-risk")))</f>
        <v>Emotionally vulnerable</v>
      </c>
      <c r="I73" s="34" t="str">
        <f aca="false">IF(OR(N('Player Data'!BY73)&gt;=1,'Player Data'!BZ73="Yes"),"Alert","None")</f>
        <v>None</v>
      </c>
      <c r="J73" s="34" t="str">
        <f aca="false">IF(OR(B73&gt;='Model Settings'!$E$67,'Player Data'!BM73="Yes",I73="Alert"),"Suppress",IF(AND(B73&gt;='Model Settings'!$E$66,'Player Data'!G73="Yes"),"Review VIP","Allow"))</f>
        <v>Suppress</v>
      </c>
      <c r="K73" s="50" t="n">
        <f aca="false">ROUND(100*((N('Player Data'!CH73)&gt;='Model Settings'!$E$52)*'Model Settings'!$F$52+(N('Player Data'!CI73)&gt;='Model Settings'!$E$53)*'Model Settings'!$F$53+(N('Player Data'!R73)&gt;='Model Settings'!$E$54)*'Model Settings'!$F$54+(N('Player Data'!Y73)&gt;='Model Settings'!$E$55)*'Model Settings'!$F$55+(N('Player Data'!AS73)&gt;='Model Settings'!$E$56)*'Model Settings'!$F$56)/('Model Settings'!$F$52+'Model Settings'!$F$53+'Model Settings'!$F$54+'Model Settings'!$F$55+'Model Settings'!$F$56),0)</f>
        <v>60</v>
      </c>
      <c r="L73" s="34" t="str">
        <f aca="false">IF('Player Data'!D73="Spain",ROUND(100*((N('Player Data'!H73)&gt;='Model Settings'!$E$57)*'Model Settings'!$F$57+(N('Player Data'!AI73)&gt;='Model Settings'!$E$58)*'Model Settings'!$F$58+(N('Player Data'!AL73)&gt;='Model Settings'!$E$59)*'Model Settings'!$F$59+(N('Player Data'!M73)&gt;='Model Settings'!$E$60)*'Model Settings'!$F$60+(N('Player Data'!X73)&lt;='Model Settings'!$E$61)*'Model Settings'!$F$61+(N('Player Data'!Y73)&gt;='Model Settings'!$E$62)*'Model Settings'!$F$62+(N('Player Data'!P73)&gt;='Model Settings'!$E$63)*'Model Settings'!$F$63)/('Model Settings'!$F$57+'Model Settings'!$F$58+'Model Settings'!$F$59+'Model Settings'!$F$60+'Model Settings'!$F$61+'Model Settings'!$F$62+'Model Settings'!$F$63),0),"n/a")</f>
        <v>n/a</v>
      </c>
      <c r="M73" s="34" t="str">
        <f aca="false">IF('Player Data'!CA73="None","No contact yet",IF('Player Data'!CA73="Improved","Working",IF('Player Data'!CA73="No change","Review approach","Escalate")))</f>
        <v>Escalate</v>
      </c>
      <c r="N73" s="49" t="str">
        <f aca="false">IF(OR('Player Data'!BM73="Yes",I73="Alert"),"High",IF(B73&gt;='Model Settings'!$E$67,"High",IF(OR(B73&gt;='Model Settings'!$E$66,D73&gt;='Model Settings'!$E$68,F73&gt;='Model Settings'!$E$68,K73&gt;='Model Settings'!$E$68),"Medium","Low")))</f>
        <v>High</v>
      </c>
      <c r="O73" s="34" t="str">
        <f aca="false">IF(N73="High","Contact player + review within 48h; stop marketing",IF(N73="Medium","Safer gambling message; monitor weekly","No action; routine monitoring"))</f>
        <v>Contact player + review within 48h; stop marketing</v>
      </c>
      <c r="P73" s="34" t="n">
        <f aca="false">IF(OR(N73="High",AND('Model Settings'!$E$70="High+Medium",N73="Medium")),1,0)</f>
        <v>1</v>
      </c>
      <c r="Q73" s="34" t="n">
        <f aca="false">'Player Data'!CM73</f>
        <v>1</v>
      </c>
    </row>
    <row r="74" customFormat="false" ht="15" hidden="false" customHeight="false" outlineLevel="0" collapsed="false">
      <c r="A74" s="49" t="str">
        <f aca="false">'Player Data'!A74</f>
        <v>P069</v>
      </c>
      <c r="B74" s="50" t="n">
        <f aca="false">ROUND(100*((N('Player Data'!U74)&gt;='Model Settings'!$E$5)*'Model Settings'!$F$5+(N('Player Data'!AT74)&gt;='Model Settings'!$E$6)*'Model Settings'!$F$6+(N('Player Data'!BI74)&gt;='Model Settings'!$E$7)*'Model Settings'!$F$7+(N('Player Data'!AL74)&gt;='Model Settings'!$E$8)*'Model Settings'!$F$8+(N('Player Data'!AH74)&gt;='Model Settings'!$E$9)*'Model Settings'!$F$9+(N('Player Data'!B74)&lt;='Model Settings'!$E$10)*'Model Settings'!$F$10+(N('Player Data'!M74)&gt;='Model Settings'!$E$11)*'Model Settings'!$F$11+(N('Player Data'!J74)&lt;='Model Settings'!$E$12)*'Model Settings'!$F$12+(N('Player Data'!V74)&gt;='Model Settings'!$E$13)*'Model Settings'!$F$13+(N('Player Data'!W74)&gt;='Model Settings'!$E$14)*'Model Settings'!$F$14+(N('Player Data'!AE74)&gt;='Model Settings'!$E$15)*'Model Settings'!$F$15+(N('Player Data'!BF74)&gt;='Model Settings'!$E$16)*'Model Settings'!$F$16+(N('Player Data'!AX74)&gt;='Model Settings'!$E$17)*'Model Settings'!$F$17+(N('Player Data'!AP74)&gt;='Model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74" s="34" t="str">
        <f aca="false">IF('Player Data'!E74&lt;='Model Settings'!$E$69,ROUND(100*((N('Player Data'!H74)&gt;='Model Settings'!$E$19)*'Model Settings'!$F$19+(N('Player Data'!S74)&gt;='Model Settings'!$E$20)*'Model Settings'!$F$20+(N('Player Data'!AH74)&gt;='Model Settings'!$E$21)*'Model Settings'!$F$21+(N('Player Data'!AX74)&gt;='Model Settings'!$E$22)*'Model Settings'!$F$22+(N('Player Data'!Y74)&gt;='Model Settings'!$E$23)*'Model Settings'!$F$23+(N('Player Data'!AM74)&gt;='Model Settings'!$E$24)*'Model Settings'!$F$24)/('Model Settings'!$F$19+'Model Settings'!$F$20+'Model Settings'!$F$21+'Model Settings'!$F$22+'Model Settings'!$F$23+'Model Settings'!$F$24),0),"n/a")</f>
        <v>n/a</v>
      </c>
      <c r="D74" s="50" t="n">
        <f aca="false">ROUND(100*((N('Player Data'!U74)&gt;='Model Settings'!$E$25)*'Model Settings'!$F$25+(N('Player Data'!V74)&gt;='Model Settings'!$E$26)*'Model Settings'!$F$26+(N('Player Data'!W74)&gt;='Model Settings'!$E$27)*'Model Settings'!$F$27+(N('Player Data'!AT74)&gt;='Model Settings'!$E$28)*'Model Settings'!$F$28+(N('Player Data'!AE74)&gt;='Model Settings'!$E$29)*'Model Settings'!$F$29+(N('Player Data'!AO74)&gt;='Model Settings'!$E$30)*'Model Settings'!$F$30+(N('Player Data'!AG74)&gt;='Model Settings'!$E$31)*'Model Settings'!$F$31)/('Model Settings'!$F$25+'Model Settings'!$F$26+'Model Settings'!$F$27+'Model Settings'!$F$28+'Model Settings'!$F$29+'Model Settings'!$F$30+'Model Settings'!$F$31),0)</f>
        <v>0</v>
      </c>
      <c r="E74" s="50" t="n">
        <f aca="false">ROUND(100*((N('Player Data'!Z74)&gt;='Model Settings'!$E$32)*'Model Settings'!$F$32+(N('Player Data'!BN74)&gt;='Model Settings'!$E$33)*'Model Settings'!$F$33+(N('Player Data'!BO74)&gt;='Model Settings'!$E$34)*'Model Settings'!$F$34+(N('Player Data'!BP74)&gt;='Model Settings'!$E$35)*'Model Settings'!$F$35+('Player Data'!BR74='Model Settings'!$E$36)*'Model Settings'!$F$36+(N('Player Data'!AW74)&gt;='Model Settings'!$E$37)*'Model Settings'!$F$37+(N('Player Data'!AF74)&lt;='Model Settings'!$E$38)*'Model Settings'!$F$38)/('Model Settings'!$F$32+'Model Settings'!$F$33+'Model Settings'!$F$34+'Model Settings'!$F$35+'Model Settings'!$F$36+'Model Settings'!$F$37+'Model Settings'!$F$38),0)</f>
        <v>0</v>
      </c>
      <c r="F74" s="50" t="n">
        <f aca="false">ROUND(100*((N('Player Data'!K74)&gt;='Model Settings'!$E$39)*'Model Settings'!$F$39+(N('Player Data'!P74)&gt;='Model Settings'!$E$40)*'Model Settings'!$F$40+(N('Player Data'!M74)&gt;='Model Settings'!$E$41)*'Model Settings'!$F$41+(N('Player Data'!AU74)&gt;='Model Settings'!$E$42)*'Model Settings'!$F$42+(N('Player Data'!CL74)&gt;='Model Settings'!$E$43)*'Model Settings'!$F$43+(N('Player Data'!Q74)&gt;='Model Settings'!$E$44)*'Model Settings'!$F$44)/('Model Settings'!$F$39+'Model Settings'!$F$40+'Model Settings'!$F$41+'Model Settings'!$F$42+'Model Settings'!$F$43+'Model Settings'!$F$44),0)</f>
        <v>17</v>
      </c>
      <c r="G74" s="50" t="n">
        <f aca="false">ROUND(100*((N('Player Data'!BE74)&gt;='Model Settings'!$E$45)*'Model Settings'!$F$45+(N('Player Data'!BH74)&gt;='Model Settings'!$E$46)*'Model Settings'!$F$46+(N('Player Data'!U74)&gt;='Model Settings'!$E$47)*'Model Settings'!$F$47+(N('Player Data'!BN74)&gt;='Model Settings'!$E$48)*'Model Settings'!$F$48+(N('Player Data'!AX74)&gt;='Model Settings'!$E$49)*'Model Settings'!$F$49+(N('Player Data'!BL74)&gt;='Model Settings'!$E$50)*'Model Settings'!$F$50+(N('Player Data'!BI74)&gt;='Model Settings'!$E$51)*'Model Settings'!$F$51)/('Model Settings'!$F$45+'Model Settings'!$F$46+'Model Settings'!$F$47+'Model Settings'!$F$48+'Model Settings'!$F$49+'Model Settings'!$F$50+'Model Settings'!$F$51),0)</f>
        <v>0</v>
      </c>
      <c r="H74" s="34" t="str">
        <f aca="false">IF(AND(B74&lt;'Model Settings'!$E$66,E74&lt;'Model Settings'!$E$68),"Non-problem",IF(E74&gt;='Model Settings'!$E$68,"Financially vulnerable",IF(OR(N('Player Data'!BY74)&gt;=1,N('Player Data'!BX74)&gt;=2,N('Player Data'!BW74)&gt;=3),"Emotionally vulnerable","At-risk")))</f>
        <v>Non-problem</v>
      </c>
      <c r="I74" s="34" t="str">
        <f aca="false">IF(OR(N('Player Data'!BY74)&gt;=1,'Player Data'!BZ74="Yes"),"Alert","None")</f>
        <v>None</v>
      </c>
      <c r="J74" s="34" t="str">
        <f aca="false">IF(OR(B74&gt;='Model Settings'!$E$67,'Player Data'!BM74="Yes",I74="Alert"),"Suppress",IF(AND(B74&gt;='Model Settings'!$E$66,'Player Data'!G74="Yes"),"Review VIP","Allow"))</f>
        <v>Allow</v>
      </c>
      <c r="K74" s="50" t="n">
        <f aca="false">ROUND(100*((N('Player Data'!CH74)&gt;='Model Settings'!$E$52)*'Model Settings'!$F$52+(N('Player Data'!CI74)&gt;='Model Settings'!$E$53)*'Model Settings'!$F$53+(N('Player Data'!R74)&gt;='Model Settings'!$E$54)*'Model Settings'!$F$54+(N('Player Data'!Y74)&gt;='Model Settings'!$E$55)*'Model Settings'!$F$55+(N('Player Data'!AS74)&gt;='Model Settings'!$E$56)*'Model Settings'!$F$56)/('Model Settings'!$F$52+'Model Settings'!$F$53+'Model Settings'!$F$54+'Model Settings'!$F$55+'Model Settings'!$F$56),0)</f>
        <v>0</v>
      </c>
      <c r="L74" s="34" t="str">
        <f aca="false">IF('Player Data'!D74="Spain",ROUND(100*((N('Player Data'!H74)&gt;='Model Settings'!$E$57)*'Model Settings'!$F$57+(N('Player Data'!AI74)&gt;='Model Settings'!$E$58)*'Model Settings'!$F$58+(N('Player Data'!AL74)&gt;='Model Settings'!$E$59)*'Model Settings'!$F$59+(N('Player Data'!M74)&gt;='Model Settings'!$E$60)*'Model Settings'!$F$60+(N('Player Data'!X74)&lt;='Model Settings'!$E$61)*'Model Settings'!$F$61+(N('Player Data'!Y74)&gt;='Model Settings'!$E$62)*'Model Settings'!$F$62+(N('Player Data'!P74)&gt;='Model Settings'!$E$63)*'Model Settings'!$F$63)/('Model Settings'!$F$57+'Model Settings'!$F$58+'Model Settings'!$F$59+'Model Settings'!$F$60+'Model Settings'!$F$61+'Model Settings'!$F$62+'Model Settings'!$F$63),0),"n/a")</f>
        <v>n/a</v>
      </c>
      <c r="M74" s="34" t="str">
        <f aca="false">IF('Player Data'!CA74="None","No contact yet",IF('Player Data'!CA74="Improved","Working",IF('Player Data'!CA74="No change","Review approach","Escalate")))</f>
        <v>No contact yet</v>
      </c>
      <c r="N74" s="49" t="str">
        <f aca="false">IF(OR('Player Data'!BM74="Yes",I74="Alert"),"High",IF(B74&gt;='Model Settings'!$E$67,"High",IF(OR(B74&gt;='Model Settings'!$E$66,D74&gt;='Model Settings'!$E$68,F74&gt;='Model Settings'!$E$68,K74&gt;='Model Settings'!$E$68),"Medium","Low")))</f>
        <v>Low</v>
      </c>
      <c r="O74" s="34" t="str">
        <f aca="false">IF(N74="High","Contact player + review within 48h; stop marketing",IF(N74="Medium","Safer gambling message; monitor weekly","No action; routine monitoring"))</f>
        <v>No action; routine monitoring</v>
      </c>
      <c r="P74" s="34" t="n">
        <f aca="false">IF(OR(N74="High",AND('Model Settings'!$E$70="High+Medium",N74="Medium")),1,0)</f>
        <v>0</v>
      </c>
      <c r="Q74" s="34" t="n">
        <f aca="false">'Player Data'!CM74</f>
        <v>0</v>
      </c>
    </row>
    <row r="75" customFormat="false" ht="15" hidden="false" customHeight="false" outlineLevel="0" collapsed="false">
      <c r="A75" s="49" t="str">
        <f aca="false">'Player Data'!A75</f>
        <v>P070</v>
      </c>
      <c r="B75" s="50" t="n">
        <f aca="false">ROUND(100*((N('Player Data'!U75)&gt;='Model Settings'!$E$5)*'Model Settings'!$F$5+(N('Player Data'!AT75)&gt;='Model Settings'!$E$6)*'Model Settings'!$F$6+(N('Player Data'!BI75)&gt;='Model Settings'!$E$7)*'Model Settings'!$F$7+(N('Player Data'!AL75)&gt;='Model Settings'!$E$8)*'Model Settings'!$F$8+(N('Player Data'!AH75)&gt;='Model Settings'!$E$9)*'Model Settings'!$F$9+(N('Player Data'!B75)&lt;='Model Settings'!$E$10)*'Model Settings'!$F$10+(N('Player Data'!M75)&gt;='Model Settings'!$E$11)*'Model Settings'!$F$11+(N('Player Data'!J75)&lt;='Model Settings'!$E$12)*'Model Settings'!$F$12+(N('Player Data'!V75)&gt;='Model Settings'!$E$13)*'Model Settings'!$F$13+(N('Player Data'!W75)&gt;='Model Settings'!$E$14)*'Model Settings'!$F$14+(N('Player Data'!AE75)&gt;='Model Settings'!$E$15)*'Model Settings'!$F$15+(N('Player Data'!BF75)&gt;='Model Settings'!$E$16)*'Model Settings'!$F$16+(N('Player Data'!AX75)&gt;='Model Settings'!$E$17)*'Model Settings'!$F$17+(N('Player Data'!AP75)&gt;='Model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75" s="34" t="str">
        <f aca="false">IF('Player Data'!E75&lt;='Model Settings'!$E$69,ROUND(100*((N('Player Data'!H75)&gt;='Model Settings'!$E$19)*'Model Settings'!$F$19+(N('Player Data'!S75)&gt;='Model Settings'!$E$20)*'Model Settings'!$F$20+(N('Player Data'!AH75)&gt;='Model Settings'!$E$21)*'Model Settings'!$F$21+(N('Player Data'!AX75)&gt;='Model Settings'!$E$22)*'Model Settings'!$F$22+(N('Player Data'!Y75)&gt;='Model Settings'!$E$23)*'Model Settings'!$F$23+(N('Player Data'!AM75)&gt;='Model Settings'!$E$24)*'Model Settings'!$F$24)/('Model Settings'!$F$19+'Model Settings'!$F$20+'Model Settings'!$F$21+'Model Settings'!$F$22+'Model Settings'!$F$23+'Model Settings'!$F$24),0),"n/a")</f>
        <v>n/a</v>
      </c>
      <c r="D75" s="50" t="n">
        <f aca="false">ROUND(100*((N('Player Data'!U75)&gt;='Model Settings'!$E$25)*'Model Settings'!$F$25+(N('Player Data'!V75)&gt;='Model Settings'!$E$26)*'Model Settings'!$F$26+(N('Player Data'!W75)&gt;='Model Settings'!$E$27)*'Model Settings'!$F$27+(N('Player Data'!AT75)&gt;='Model Settings'!$E$28)*'Model Settings'!$F$28+(N('Player Data'!AE75)&gt;='Model Settings'!$E$29)*'Model Settings'!$F$29+(N('Player Data'!AO75)&gt;='Model Settings'!$E$30)*'Model Settings'!$F$30+(N('Player Data'!AG75)&gt;='Model Settings'!$E$31)*'Model Settings'!$F$31)/('Model Settings'!$F$25+'Model Settings'!$F$26+'Model Settings'!$F$27+'Model Settings'!$F$28+'Model Settings'!$F$29+'Model Settings'!$F$30+'Model Settings'!$F$31),0)</f>
        <v>0</v>
      </c>
      <c r="E75" s="50" t="n">
        <f aca="false">ROUND(100*((N('Player Data'!Z75)&gt;='Model Settings'!$E$32)*'Model Settings'!$F$32+(N('Player Data'!BN75)&gt;='Model Settings'!$E$33)*'Model Settings'!$F$33+(N('Player Data'!BO75)&gt;='Model Settings'!$E$34)*'Model Settings'!$F$34+(N('Player Data'!BP75)&gt;='Model Settings'!$E$35)*'Model Settings'!$F$35+('Player Data'!BR75='Model Settings'!$E$36)*'Model Settings'!$F$36+(N('Player Data'!AW75)&gt;='Model Settings'!$E$37)*'Model Settings'!$F$37+(N('Player Data'!AF75)&lt;='Model Settings'!$E$38)*'Model Settings'!$F$38)/('Model Settings'!$F$32+'Model Settings'!$F$33+'Model Settings'!$F$34+'Model Settings'!$F$35+'Model Settings'!$F$36+'Model Settings'!$F$37+'Model Settings'!$F$38),0)</f>
        <v>0</v>
      </c>
      <c r="F75" s="50" t="n">
        <f aca="false">ROUND(100*((N('Player Data'!K75)&gt;='Model Settings'!$E$39)*'Model Settings'!$F$39+(N('Player Data'!P75)&gt;='Model Settings'!$E$40)*'Model Settings'!$F$40+(N('Player Data'!M75)&gt;='Model Settings'!$E$41)*'Model Settings'!$F$41+(N('Player Data'!AU75)&gt;='Model Settings'!$E$42)*'Model Settings'!$F$42+(N('Player Data'!CL75)&gt;='Model Settings'!$E$43)*'Model Settings'!$F$43+(N('Player Data'!Q75)&gt;='Model Settings'!$E$44)*'Model Settings'!$F$44)/('Model Settings'!$F$39+'Model Settings'!$F$40+'Model Settings'!$F$41+'Model Settings'!$F$42+'Model Settings'!$F$43+'Model Settings'!$F$44),0)</f>
        <v>0</v>
      </c>
      <c r="G75" s="50" t="n">
        <f aca="false">ROUND(100*((N('Player Data'!BE75)&gt;='Model Settings'!$E$45)*'Model Settings'!$F$45+(N('Player Data'!BH75)&gt;='Model Settings'!$E$46)*'Model Settings'!$F$46+(N('Player Data'!U75)&gt;='Model Settings'!$E$47)*'Model Settings'!$F$47+(N('Player Data'!BN75)&gt;='Model Settings'!$E$48)*'Model Settings'!$F$48+(N('Player Data'!AX75)&gt;='Model Settings'!$E$49)*'Model Settings'!$F$49+(N('Player Data'!BL75)&gt;='Model Settings'!$E$50)*'Model Settings'!$F$50+(N('Player Data'!BI75)&gt;='Model Settings'!$E$51)*'Model Settings'!$F$51)/('Model Settings'!$F$45+'Model Settings'!$F$46+'Model Settings'!$F$47+'Model Settings'!$F$48+'Model Settings'!$F$49+'Model Settings'!$F$50+'Model Settings'!$F$51),0)</f>
        <v>0</v>
      </c>
      <c r="H75" s="34" t="str">
        <f aca="false">IF(AND(B75&lt;'Model Settings'!$E$66,E75&lt;'Model Settings'!$E$68),"Non-problem",IF(E75&gt;='Model Settings'!$E$68,"Financially vulnerable",IF(OR(N('Player Data'!BY75)&gt;=1,N('Player Data'!BX75)&gt;=2,N('Player Data'!BW75)&gt;=3),"Emotionally vulnerable","At-risk")))</f>
        <v>Non-problem</v>
      </c>
      <c r="I75" s="34" t="str">
        <f aca="false">IF(OR(N('Player Data'!BY75)&gt;=1,'Player Data'!BZ75="Yes"),"Alert","None")</f>
        <v>None</v>
      </c>
      <c r="J75" s="34" t="str">
        <f aca="false">IF(OR(B75&gt;='Model Settings'!$E$67,'Player Data'!BM75="Yes",I75="Alert"),"Suppress",IF(AND(B75&gt;='Model Settings'!$E$66,'Player Data'!G75="Yes"),"Review VIP","Allow"))</f>
        <v>Allow</v>
      </c>
      <c r="K75" s="50" t="n">
        <f aca="false">ROUND(100*((N('Player Data'!CH75)&gt;='Model Settings'!$E$52)*'Model Settings'!$F$52+(N('Player Data'!CI75)&gt;='Model Settings'!$E$53)*'Model Settings'!$F$53+(N('Player Data'!R75)&gt;='Model Settings'!$E$54)*'Model Settings'!$F$54+(N('Player Data'!Y75)&gt;='Model Settings'!$E$55)*'Model Settings'!$F$55+(N('Player Data'!AS75)&gt;='Model Settings'!$E$56)*'Model Settings'!$F$56)/('Model Settings'!$F$52+'Model Settings'!$F$53+'Model Settings'!$F$54+'Model Settings'!$F$55+'Model Settings'!$F$56),0)</f>
        <v>0</v>
      </c>
      <c r="L75" s="34" t="str">
        <f aca="false">IF('Player Data'!D75="Spain",ROUND(100*((N('Player Data'!H75)&gt;='Model Settings'!$E$57)*'Model Settings'!$F$57+(N('Player Data'!AI75)&gt;='Model Settings'!$E$58)*'Model Settings'!$F$58+(N('Player Data'!AL75)&gt;='Model Settings'!$E$59)*'Model Settings'!$F$59+(N('Player Data'!M75)&gt;='Model Settings'!$E$60)*'Model Settings'!$F$60+(N('Player Data'!X75)&lt;='Model Settings'!$E$61)*'Model Settings'!$F$61+(N('Player Data'!Y75)&gt;='Model Settings'!$E$62)*'Model Settings'!$F$62+(N('Player Data'!P75)&gt;='Model Settings'!$E$63)*'Model Settings'!$F$63)/('Model Settings'!$F$57+'Model Settings'!$F$58+'Model Settings'!$F$59+'Model Settings'!$F$60+'Model Settings'!$F$61+'Model Settings'!$F$62+'Model Settings'!$F$63),0),"n/a")</f>
        <v>n/a</v>
      </c>
      <c r="M75" s="34" t="str">
        <f aca="false">IF('Player Data'!CA75="None","No contact yet",IF('Player Data'!CA75="Improved","Working",IF('Player Data'!CA75="No change","Review approach","Escalate")))</f>
        <v>No contact yet</v>
      </c>
      <c r="N75" s="49" t="str">
        <f aca="false">IF(OR('Player Data'!BM75="Yes",I75="Alert"),"High",IF(B75&gt;='Model Settings'!$E$67,"High",IF(OR(B75&gt;='Model Settings'!$E$66,D75&gt;='Model Settings'!$E$68,F75&gt;='Model Settings'!$E$68,K75&gt;='Model Settings'!$E$68),"Medium","Low")))</f>
        <v>Low</v>
      </c>
      <c r="O75" s="34" t="str">
        <f aca="false">IF(N75="High","Contact player + review within 48h; stop marketing",IF(N75="Medium","Safer gambling message; monitor weekly","No action; routine monitoring"))</f>
        <v>No action; routine monitoring</v>
      </c>
      <c r="P75" s="34" t="n">
        <f aca="false">IF(OR(N75="High",AND('Model Settings'!$E$70="High+Medium",N75="Medium")),1,0)</f>
        <v>0</v>
      </c>
      <c r="Q75" s="34" t="n">
        <f aca="false">'Player Data'!CM75</f>
        <v>0</v>
      </c>
    </row>
    <row r="76" customFormat="false" ht="15" hidden="false" customHeight="false" outlineLevel="0" collapsed="false">
      <c r="A76" s="49" t="str">
        <f aca="false">'Player Data'!A76</f>
        <v>P071</v>
      </c>
      <c r="B76" s="50" t="n">
        <f aca="false">ROUND(100*((N('Player Data'!U76)&gt;='Model Settings'!$E$5)*'Model Settings'!$F$5+(N('Player Data'!AT76)&gt;='Model Settings'!$E$6)*'Model Settings'!$F$6+(N('Player Data'!BI76)&gt;='Model Settings'!$E$7)*'Model Settings'!$F$7+(N('Player Data'!AL76)&gt;='Model Settings'!$E$8)*'Model Settings'!$F$8+(N('Player Data'!AH76)&gt;='Model Settings'!$E$9)*'Model Settings'!$F$9+(N('Player Data'!B76)&lt;='Model Settings'!$E$10)*'Model Settings'!$F$10+(N('Player Data'!M76)&gt;='Model Settings'!$E$11)*'Model Settings'!$F$11+(N('Player Data'!J76)&lt;='Model Settings'!$E$12)*'Model Settings'!$F$12+(N('Player Data'!V76)&gt;='Model Settings'!$E$13)*'Model Settings'!$F$13+(N('Player Data'!W76)&gt;='Model Settings'!$E$14)*'Model Settings'!$F$14+(N('Player Data'!AE76)&gt;='Model Settings'!$E$15)*'Model Settings'!$F$15+(N('Player Data'!BF76)&gt;='Model Settings'!$E$16)*'Model Settings'!$F$16+(N('Player Data'!AX76)&gt;='Model Settings'!$E$17)*'Model Settings'!$F$17+(N('Player Data'!AP76)&gt;='Model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33</v>
      </c>
      <c r="C76" s="34" t="str">
        <f aca="false">IF('Player Data'!E76&lt;='Model Settings'!$E$69,ROUND(100*((N('Player Data'!H76)&gt;='Model Settings'!$E$19)*'Model Settings'!$F$19+(N('Player Data'!S76)&gt;='Model Settings'!$E$20)*'Model Settings'!$F$20+(N('Player Data'!AH76)&gt;='Model Settings'!$E$21)*'Model Settings'!$F$21+(N('Player Data'!AX76)&gt;='Model Settings'!$E$22)*'Model Settings'!$F$22+(N('Player Data'!Y76)&gt;='Model Settings'!$E$23)*'Model Settings'!$F$23+(N('Player Data'!AM76)&gt;='Model Settings'!$E$24)*'Model Settings'!$F$24)/('Model Settings'!$F$19+'Model Settings'!$F$20+'Model Settings'!$F$21+'Model Settings'!$F$22+'Model Settings'!$F$23+'Model Settings'!$F$24),0),"n/a")</f>
        <v>n/a</v>
      </c>
      <c r="D76" s="50" t="n">
        <f aca="false">ROUND(100*((N('Player Data'!U76)&gt;='Model Settings'!$E$25)*'Model Settings'!$F$25+(N('Player Data'!V76)&gt;='Model Settings'!$E$26)*'Model Settings'!$F$26+(N('Player Data'!W76)&gt;='Model Settings'!$E$27)*'Model Settings'!$F$27+(N('Player Data'!AT76)&gt;='Model Settings'!$E$28)*'Model Settings'!$F$28+(N('Player Data'!AE76)&gt;='Model Settings'!$E$29)*'Model Settings'!$F$29+(N('Player Data'!AO76)&gt;='Model Settings'!$E$30)*'Model Settings'!$F$30+(N('Player Data'!AG76)&gt;='Model Settings'!$E$31)*'Model Settings'!$F$31)/('Model Settings'!$F$25+'Model Settings'!$F$26+'Model Settings'!$F$27+'Model Settings'!$F$28+'Model Settings'!$F$29+'Model Settings'!$F$30+'Model Settings'!$F$31),0)</f>
        <v>57</v>
      </c>
      <c r="E76" s="50" t="n">
        <f aca="false">ROUND(100*((N('Player Data'!Z76)&gt;='Model Settings'!$E$32)*'Model Settings'!$F$32+(N('Player Data'!BN76)&gt;='Model Settings'!$E$33)*'Model Settings'!$F$33+(N('Player Data'!BO76)&gt;='Model Settings'!$E$34)*'Model Settings'!$F$34+(N('Player Data'!BP76)&gt;='Model Settings'!$E$35)*'Model Settings'!$F$35+('Player Data'!BR76='Model Settings'!$E$36)*'Model Settings'!$F$36+(N('Player Data'!AW76)&gt;='Model Settings'!$E$37)*'Model Settings'!$F$37+(N('Player Data'!AF76)&lt;='Model Settings'!$E$38)*'Model Settings'!$F$38)/('Model Settings'!$F$32+'Model Settings'!$F$33+'Model Settings'!$F$34+'Model Settings'!$F$35+'Model Settings'!$F$36+'Model Settings'!$F$37+'Model Settings'!$F$38),0)</f>
        <v>14</v>
      </c>
      <c r="F76" s="50" t="n">
        <f aca="false">ROUND(100*((N('Player Data'!K76)&gt;='Model Settings'!$E$39)*'Model Settings'!$F$39+(N('Player Data'!P76)&gt;='Model Settings'!$E$40)*'Model Settings'!$F$40+(N('Player Data'!M76)&gt;='Model Settings'!$E$41)*'Model Settings'!$F$41+(N('Player Data'!AU76)&gt;='Model Settings'!$E$42)*'Model Settings'!$F$42+(N('Player Data'!CL76)&gt;='Model Settings'!$E$43)*'Model Settings'!$F$43+(N('Player Data'!Q76)&gt;='Model Settings'!$E$44)*'Model Settings'!$F$44)/('Model Settings'!$F$39+'Model Settings'!$F$40+'Model Settings'!$F$41+'Model Settings'!$F$42+'Model Settings'!$F$43+'Model Settings'!$F$44),0)</f>
        <v>33</v>
      </c>
      <c r="G76" s="50" t="n">
        <f aca="false">ROUND(100*((N('Player Data'!BE76)&gt;='Model Settings'!$E$45)*'Model Settings'!$F$45+(N('Player Data'!BH76)&gt;='Model Settings'!$E$46)*'Model Settings'!$F$46+(N('Player Data'!U76)&gt;='Model Settings'!$E$47)*'Model Settings'!$F$47+(N('Player Data'!BN76)&gt;='Model Settings'!$E$48)*'Model Settings'!$F$48+(N('Player Data'!AX76)&gt;='Model Settings'!$E$49)*'Model Settings'!$F$49+(N('Player Data'!BL76)&gt;='Model Settings'!$E$50)*'Model Settings'!$F$50+(N('Player Data'!BI76)&gt;='Model Settings'!$E$51)*'Model Settings'!$F$51)/('Model Settings'!$F$45+'Model Settings'!$F$46+'Model Settings'!$F$47+'Model Settings'!$F$48+'Model Settings'!$F$49+'Model Settings'!$F$50+'Model Settings'!$F$51),0)</f>
        <v>14</v>
      </c>
      <c r="H76" s="34" t="str">
        <f aca="false">IF(AND(B76&lt;'Model Settings'!$E$66,E76&lt;'Model Settings'!$E$68),"Non-problem",IF(E76&gt;='Model Settings'!$E$68,"Financially vulnerable",IF(OR(N('Player Data'!BY76)&gt;=1,N('Player Data'!BX76)&gt;=2,N('Player Data'!BW76)&gt;=3),"Emotionally vulnerable","At-risk")))</f>
        <v>At-risk</v>
      </c>
      <c r="I76" s="34" t="str">
        <f aca="false">IF(OR(N('Player Data'!BY76)&gt;=1,'Player Data'!BZ76="Yes"),"Alert","None")</f>
        <v>None</v>
      </c>
      <c r="J76" s="34" t="str">
        <f aca="false">IF(OR(B76&gt;='Model Settings'!$E$67,'Player Data'!BM76="Yes",I76="Alert"),"Suppress",IF(AND(B76&gt;='Model Settings'!$E$66,'Player Data'!G76="Yes"),"Review VIP","Allow"))</f>
        <v>Allow</v>
      </c>
      <c r="K76" s="50" t="n">
        <f aca="false">ROUND(100*((N('Player Data'!CH76)&gt;='Model Settings'!$E$52)*'Model Settings'!$F$52+(N('Player Data'!CI76)&gt;='Model Settings'!$E$53)*'Model Settings'!$F$53+(N('Player Data'!R76)&gt;='Model Settings'!$E$54)*'Model Settings'!$F$54+(N('Player Data'!Y76)&gt;='Model Settings'!$E$55)*'Model Settings'!$F$55+(N('Player Data'!AS76)&gt;='Model Settings'!$E$56)*'Model Settings'!$F$56)/('Model Settings'!$F$52+'Model Settings'!$F$53+'Model Settings'!$F$54+'Model Settings'!$F$55+'Model Settings'!$F$56),0)</f>
        <v>20</v>
      </c>
      <c r="L76" s="34" t="str">
        <f aca="false">IF('Player Data'!D76="Spain",ROUND(100*((N('Player Data'!H76)&gt;='Model Settings'!$E$57)*'Model Settings'!$F$57+(N('Player Data'!AI76)&gt;='Model Settings'!$E$58)*'Model Settings'!$F$58+(N('Player Data'!AL76)&gt;='Model Settings'!$E$59)*'Model Settings'!$F$59+(N('Player Data'!M76)&gt;='Model Settings'!$E$60)*'Model Settings'!$F$60+(N('Player Data'!X76)&lt;='Model Settings'!$E$61)*'Model Settings'!$F$61+(N('Player Data'!Y76)&gt;='Model Settings'!$E$62)*'Model Settings'!$F$62+(N('Player Data'!P76)&gt;='Model Settings'!$E$63)*'Model Settings'!$F$63)/('Model Settings'!$F$57+'Model Settings'!$F$58+'Model Settings'!$F$59+'Model Settings'!$F$60+'Model Settings'!$F$61+'Model Settings'!$F$62+'Model Settings'!$F$63),0),"n/a")</f>
        <v>n/a</v>
      </c>
      <c r="M76" s="34" t="str">
        <f aca="false">IF('Player Data'!CA76="None","No contact yet",IF('Player Data'!CA76="Improved","Working",IF('Player Data'!CA76="No change","Review approach","Escalate")))</f>
        <v>Escalate</v>
      </c>
      <c r="N76" s="49" t="str">
        <f aca="false">IF(OR('Player Data'!BM76="Yes",I76="Alert"),"High",IF(B76&gt;='Model Settings'!$E$67,"High",IF(OR(B76&gt;='Model Settings'!$E$66,D76&gt;='Model Settings'!$E$68,F76&gt;='Model Settings'!$E$68,K76&gt;='Model Settings'!$E$68),"Medium","Low")))</f>
        <v>Medium</v>
      </c>
      <c r="O76" s="34" t="str">
        <f aca="false">IF(N76="High","Contact player + review within 48h; stop marketing",IF(N76="Medium","Safer gambling message; monitor weekly","No action; routine monitoring"))</f>
        <v>Safer gambling message; monitor weekly</v>
      </c>
      <c r="P76" s="34" t="n">
        <f aca="false">IF(OR(N76="High",AND('Model Settings'!$E$70="High+Medium",N76="Medium")),1,0)</f>
        <v>0</v>
      </c>
      <c r="Q76" s="34" t="n">
        <f aca="false">'Player Data'!CM76</f>
        <v>0</v>
      </c>
    </row>
    <row r="77" customFormat="false" ht="15" hidden="false" customHeight="false" outlineLevel="0" collapsed="false">
      <c r="A77" s="49" t="str">
        <f aca="false">'Player Data'!A77</f>
        <v>P072</v>
      </c>
      <c r="B77" s="50" t="n">
        <f aca="false">ROUND(100*((N('Player Data'!U77)&gt;='Model Settings'!$E$5)*'Model Settings'!$F$5+(N('Player Data'!AT77)&gt;='Model Settings'!$E$6)*'Model Settings'!$F$6+(N('Player Data'!BI77)&gt;='Model Settings'!$E$7)*'Model Settings'!$F$7+(N('Player Data'!AL77)&gt;='Model Settings'!$E$8)*'Model Settings'!$F$8+(N('Player Data'!AH77)&gt;='Model Settings'!$E$9)*'Model Settings'!$F$9+(N('Player Data'!B77)&lt;='Model Settings'!$E$10)*'Model Settings'!$F$10+(N('Player Data'!M77)&gt;='Model Settings'!$E$11)*'Model Settings'!$F$11+(N('Player Data'!J77)&lt;='Model Settings'!$E$12)*'Model Settings'!$F$12+(N('Player Data'!V77)&gt;='Model Settings'!$E$13)*'Model Settings'!$F$13+(N('Player Data'!W77)&gt;='Model Settings'!$E$14)*'Model Settings'!$F$14+(N('Player Data'!AE77)&gt;='Model Settings'!$E$15)*'Model Settings'!$F$15+(N('Player Data'!BF77)&gt;='Model Settings'!$E$16)*'Model Settings'!$F$16+(N('Player Data'!AX77)&gt;='Model Settings'!$E$17)*'Model Settings'!$F$17+(N('Player Data'!AP77)&gt;='Model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77" s="34" t="str">
        <f aca="false">IF('Player Data'!E77&lt;='Model Settings'!$E$69,ROUND(100*((N('Player Data'!H77)&gt;='Model Settings'!$E$19)*'Model Settings'!$F$19+(N('Player Data'!S77)&gt;='Model Settings'!$E$20)*'Model Settings'!$F$20+(N('Player Data'!AH77)&gt;='Model Settings'!$E$21)*'Model Settings'!$F$21+(N('Player Data'!AX77)&gt;='Model Settings'!$E$22)*'Model Settings'!$F$22+(N('Player Data'!Y77)&gt;='Model Settings'!$E$23)*'Model Settings'!$F$23+(N('Player Data'!AM77)&gt;='Model Settings'!$E$24)*'Model Settings'!$F$24)/('Model Settings'!$F$19+'Model Settings'!$F$20+'Model Settings'!$F$21+'Model Settings'!$F$22+'Model Settings'!$F$23+'Model Settings'!$F$24),0),"n/a")</f>
        <v>n/a</v>
      </c>
      <c r="D77" s="50" t="n">
        <f aca="false">ROUND(100*((N('Player Data'!U77)&gt;='Model Settings'!$E$25)*'Model Settings'!$F$25+(N('Player Data'!V77)&gt;='Model Settings'!$E$26)*'Model Settings'!$F$26+(N('Player Data'!W77)&gt;='Model Settings'!$E$27)*'Model Settings'!$F$27+(N('Player Data'!AT77)&gt;='Model Settings'!$E$28)*'Model Settings'!$F$28+(N('Player Data'!AE77)&gt;='Model Settings'!$E$29)*'Model Settings'!$F$29+(N('Player Data'!AO77)&gt;='Model Settings'!$E$30)*'Model Settings'!$F$30+(N('Player Data'!AG77)&gt;='Model Settings'!$E$31)*'Model Settings'!$F$31)/('Model Settings'!$F$25+'Model Settings'!$F$26+'Model Settings'!$F$27+'Model Settings'!$F$28+'Model Settings'!$F$29+'Model Settings'!$F$30+'Model Settings'!$F$31),0)</f>
        <v>0</v>
      </c>
      <c r="E77" s="50" t="n">
        <f aca="false">ROUND(100*((N('Player Data'!Z77)&gt;='Model Settings'!$E$32)*'Model Settings'!$F$32+(N('Player Data'!BN77)&gt;='Model Settings'!$E$33)*'Model Settings'!$F$33+(N('Player Data'!BO77)&gt;='Model Settings'!$E$34)*'Model Settings'!$F$34+(N('Player Data'!BP77)&gt;='Model Settings'!$E$35)*'Model Settings'!$F$35+('Player Data'!BR77='Model Settings'!$E$36)*'Model Settings'!$F$36+(N('Player Data'!AW77)&gt;='Model Settings'!$E$37)*'Model Settings'!$F$37+(N('Player Data'!AF77)&lt;='Model Settings'!$E$38)*'Model Settings'!$F$38)/('Model Settings'!$F$32+'Model Settings'!$F$33+'Model Settings'!$F$34+'Model Settings'!$F$35+'Model Settings'!$F$36+'Model Settings'!$F$37+'Model Settings'!$F$38),0)</f>
        <v>0</v>
      </c>
      <c r="F77" s="50" t="n">
        <f aca="false">ROUND(100*((N('Player Data'!K77)&gt;='Model Settings'!$E$39)*'Model Settings'!$F$39+(N('Player Data'!P77)&gt;='Model Settings'!$E$40)*'Model Settings'!$F$40+(N('Player Data'!M77)&gt;='Model Settings'!$E$41)*'Model Settings'!$F$41+(N('Player Data'!AU77)&gt;='Model Settings'!$E$42)*'Model Settings'!$F$42+(N('Player Data'!CL77)&gt;='Model Settings'!$E$43)*'Model Settings'!$F$43+(N('Player Data'!Q77)&gt;='Model Settings'!$E$44)*'Model Settings'!$F$44)/('Model Settings'!$F$39+'Model Settings'!$F$40+'Model Settings'!$F$41+'Model Settings'!$F$42+'Model Settings'!$F$43+'Model Settings'!$F$44),0)</f>
        <v>0</v>
      </c>
      <c r="G77" s="50" t="n">
        <f aca="false">ROUND(100*((N('Player Data'!BE77)&gt;='Model Settings'!$E$45)*'Model Settings'!$F$45+(N('Player Data'!BH77)&gt;='Model Settings'!$E$46)*'Model Settings'!$F$46+(N('Player Data'!U77)&gt;='Model Settings'!$E$47)*'Model Settings'!$F$47+(N('Player Data'!BN77)&gt;='Model Settings'!$E$48)*'Model Settings'!$F$48+(N('Player Data'!AX77)&gt;='Model Settings'!$E$49)*'Model Settings'!$F$49+(N('Player Data'!BL77)&gt;='Model Settings'!$E$50)*'Model Settings'!$F$50+(N('Player Data'!BI77)&gt;='Model Settings'!$E$51)*'Model Settings'!$F$51)/('Model Settings'!$F$45+'Model Settings'!$F$46+'Model Settings'!$F$47+'Model Settings'!$F$48+'Model Settings'!$F$49+'Model Settings'!$F$50+'Model Settings'!$F$51),0)</f>
        <v>0</v>
      </c>
      <c r="H77" s="34" t="str">
        <f aca="false">IF(AND(B77&lt;'Model Settings'!$E$66,E77&lt;'Model Settings'!$E$68),"Non-problem",IF(E77&gt;='Model Settings'!$E$68,"Financially vulnerable",IF(OR(N('Player Data'!BY77)&gt;=1,N('Player Data'!BX77)&gt;=2,N('Player Data'!BW77)&gt;=3),"Emotionally vulnerable","At-risk")))</f>
        <v>Non-problem</v>
      </c>
      <c r="I77" s="34" t="str">
        <f aca="false">IF(OR(N('Player Data'!BY77)&gt;=1,'Player Data'!BZ77="Yes"),"Alert","None")</f>
        <v>None</v>
      </c>
      <c r="J77" s="34" t="str">
        <f aca="false">IF(OR(B77&gt;='Model Settings'!$E$67,'Player Data'!BM77="Yes",I77="Alert"),"Suppress",IF(AND(B77&gt;='Model Settings'!$E$66,'Player Data'!G77="Yes"),"Review VIP","Allow"))</f>
        <v>Allow</v>
      </c>
      <c r="K77" s="50" t="n">
        <f aca="false">ROUND(100*((N('Player Data'!CH77)&gt;='Model Settings'!$E$52)*'Model Settings'!$F$52+(N('Player Data'!CI77)&gt;='Model Settings'!$E$53)*'Model Settings'!$F$53+(N('Player Data'!R77)&gt;='Model Settings'!$E$54)*'Model Settings'!$F$54+(N('Player Data'!Y77)&gt;='Model Settings'!$E$55)*'Model Settings'!$F$55+(N('Player Data'!AS77)&gt;='Model Settings'!$E$56)*'Model Settings'!$F$56)/('Model Settings'!$F$52+'Model Settings'!$F$53+'Model Settings'!$F$54+'Model Settings'!$F$55+'Model Settings'!$F$56),0)</f>
        <v>0</v>
      </c>
      <c r="L77" s="34" t="str">
        <f aca="false">IF('Player Data'!D77="Spain",ROUND(100*((N('Player Data'!H77)&gt;='Model Settings'!$E$57)*'Model Settings'!$F$57+(N('Player Data'!AI77)&gt;='Model Settings'!$E$58)*'Model Settings'!$F$58+(N('Player Data'!AL77)&gt;='Model Settings'!$E$59)*'Model Settings'!$F$59+(N('Player Data'!M77)&gt;='Model Settings'!$E$60)*'Model Settings'!$F$60+(N('Player Data'!X77)&lt;='Model Settings'!$E$61)*'Model Settings'!$F$61+(N('Player Data'!Y77)&gt;='Model Settings'!$E$62)*'Model Settings'!$F$62+(N('Player Data'!P77)&gt;='Model Settings'!$E$63)*'Model Settings'!$F$63)/('Model Settings'!$F$57+'Model Settings'!$F$58+'Model Settings'!$F$59+'Model Settings'!$F$60+'Model Settings'!$F$61+'Model Settings'!$F$62+'Model Settings'!$F$63),0),"n/a")</f>
        <v>n/a</v>
      </c>
      <c r="M77" s="34" t="str">
        <f aca="false">IF('Player Data'!CA77="None","No contact yet",IF('Player Data'!CA77="Improved","Working",IF('Player Data'!CA77="No change","Review approach","Escalate")))</f>
        <v>No contact yet</v>
      </c>
      <c r="N77" s="49" t="str">
        <f aca="false">IF(OR('Player Data'!BM77="Yes",I77="Alert"),"High",IF(B77&gt;='Model Settings'!$E$67,"High",IF(OR(B77&gt;='Model Settings'!$E$66,D77&gt;='Model Settings'!$E$68,F77&gt;='Model Settings'!$E$68,K77&gt;='Model Settings'!$E$68),"Medium","Low")))</f>
        <v>Low</v>
      </c>
      <c r="O77" s="34" t="str">
        <f aca="false">IF(N77="High","Contact player + review within 48h; stop marketing",IF(N77="Medium","Safer gambling message; monitor weekly","No action; routine monitoring"))</f>
        <v>No action; routine monitoring</v>
      </c>
      <c r="P77" s="34" t="n">
        <f aca="false">IF(OR(N77="High",AND('Model Settings'!$E$70="High+Medium",N77="Medium")),1,0)</f>
        <v>0</v>
      </c>
      <c r="Q77" s="34" t="n">
        <f aca="false">'Player Data'!CM77</f>
        <v>0</v>
      </c>
    </row>
    <row r="78" customFormat="false" ht="15" hidden="false" customHeight="false" outlineLevel="0" collapsed="false">
      <c r="A78" s="49" t="str">
        <f aca="false">'Player Data'!A78</f>
        <v>P073</v>
      </c>
      <c r="B78" s="50" t="n">
        <f aca="false">ROUND(100*((N('Player Data'!U78)&gt;='Model Settings'!$E$5)*'Model Settings'!$F$5+(N('Player Data'!AT78)&gt;='Model Settings'!$E$6)*'Model Settings'!$F$6+(N('Player Data'!BI78)&gt;='Model Settings'!$E$7)*'Model Settings'!$F$7+(N('Player Data'!AL78)&gt;='Model Settings'!$E$8)*'Model Settings'!$F$8+(N('Player Data'!AH78)&gt;='Model Settings'!$E$9)*'Model Settings'!$F$9+(N('Player Data'!B78)&lt;='Model Settings'!$E$10)*'Model Settings'!$F$10+(N('Player Data'!M78)&gt;='Model Settings'!$E$11)*'Model Settings'!$F$11+(N('Player Data'!J78)&lt;='Model Settings'!$E$12)*'Model Settings'!$F$12+(N('Player Data'!V78)&gt;='Model Settings'!$E$13)*'Model Settings'!$F$13+(N('Player Data'!W78)&gt;='Model Settings'!$E$14)*'Model Settings'!$F$14+(N('Player Data'!AE78)&gt;='Model Settings'!$E$15)*'Model Settings'!$F$15+(N('Player Data'!BF78)&gt;='Model Settings'!$E$16)*'Model Settings'!$F$16+(N('Player Data'!AX78)&gt;='Model Settings'!$E$17)*'Model Settings'!$F$17+(N('Player Data'!AP78)&gt;='Model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78" s="34" t="str">
        <f aca="false">IF('Player Data'!E78&lt;='Model Settings'!$E$69,ROUND(100*((N('Player Data'!H78)&gt;='Model Settings'!$E$19)*'Model Settings'!$F$19+(N('Player Data'!S78)&gt;='Model Settings'!$E$20)*'Model Settings'!$F$20+(N('Player Data'!AH78)&gt;='Model Settings'!$E$21)*'Model Settings'!$F$21+(N('Player Data'!AX78)&gt;='Model Settings'!$E$22)*'Model Settings'!$F$22+(N('Player Data'!Y78)&gt;='Model Settings'!$E$23)*'Model Settings'!$F$23+(N('Player Data'!AM78)&gt;='Model Settings'!$E$24)*'Model Settings'!$F$24)/('Model Settings'!$F$19+'Model Settings'!$F$20+'Model Settings'!$F$21+'Model Settings'!$F$22+'Model Settings'!$F$23+'Model Settings'!$F$24),0),"n/a")</f>
        <v>n/a</v>
      </c>
      <c r="D78" s="50" t="n">
        <f aca="false">ROUND(100*((N('Player Data'!U78)&gt;='Model Settings'!$E$25)*'Model Settings'!$F$25+(N('Player Data'!V78)&gt;='Model Settings'!$E$26)*'Model Settings'!$F$26+(N('Player Data'!W78)&gt;='Model Settings'!$E$27)*'Model Settings'!$F$27+(N('Player Data'!AT78)&gt;='Model Settings'!$E$28)*'Model Settings'!$F$28+(N('Player Data'!AE78)&gt;='Model Settings'!$E$29)*'Model Settings'!$F$29+(N('Player Data'!AO78)&gt;='Model Settings'!$E$30)*'Model Settings'!$F$30+(N('Player Data'!AG78)&gt;='Model Settings'!$E$31)*'Model Settings'!$F$31)/('Model Settings'!$F$25+'Model Settings'!$F$26+'Model Settings'!$F$27+'Model Settings'!$F$28+'Model Settings'!$F$29+'Model Settings'!$F$30+'Model Settings'!$F$31),0)</f>
        <v>14</v>
      </c>
      <c r="E78" s="50" t="n">
        <f aca="false">ROUND(100*((N('Player Data'!Z78)&gt;='Model Settings'!$E$32)*'Model Settings'!$F$32+(N('Player Data'!BN78)&gt;='Model Settings'!$E$33)*'Model Settings'!$F$33+(N('Player Data'!BO78)&gt;='Model Settings'!$E$34)*'Model Settings'!$F$34+(N('Player Data'!BP78)&gt;='Model Settings'!$E$35)*'Model Settings'!$F$35+('Player Data'!BR78='Model Settings'!$E$36)*'Model Settings'!$F$36+(N('Player Data'!AW78)&gt;='Model Settings'!$E$37)*'Model Settings'!$F$37+(N('Player Data'!AF78)&lt;='Model Settings'!$E$38)*'Model Settings'!$F$38)/('Model Settings'!$F$32+'Model Settings'!$F$33+'Model Settings'!$F$34+'Model Settings'!$F$35+'Model Settings'!$F$36+'Model Settings'!$F$37+'Model Settings'!$F$38),0)</f>
        <v>14</v>
      </c>
      <c r="F78" s="50" t="n">
        <f aca="false">ROUND(100*((N('Player Data'!K78)&gt;='Model Settings'!$E$39)*'Model Settings'!$F$39+(N('Player Data'!P78)&gt;='Model Settings'!$E$40)*'Model Settings'!$F$40+(N('Player Data'!M78)&gt;='Model Settings'!$E$41)*'Model Settings'!$F$41+(N('Player Data'!AU78)&gt;='Model Settings'!$E$42)*'Model Settings'!$F$42+(N('Player Data'!CL78)&gt;='Model Settings'!$E$43)*'Model Settings'!$F$43+(N('Player Data'!Q78)&gt;='Model Settings'!$E$44)*'Model Settings'!$F$44)/('Model Settings'!$F$39+'Model Settings'!$F$40+'Model Settings'!$F$41+'Model Settings'!$F$42+'Model Settings'!$F$43+'Model Settings'!$F$44),0)</f>
        <v>0</v>
      </c>
      <c r="G78" s="50" t="n">
        <f aca="false">ROUND(100*((N('Player Data'!BE78)&gt;='Model Settings'!$E$45)*'Model Settings'!$F$45+(N('Player Data'!BH78)&gt;='Model Settings'!$E$46)*'Model Settings'!$F$46+(N('Player Data'!U78)&gt;='Model Settings'!$E$47)*'Model Settings'!$F$47+(N('Player Data'!BN78)&gt;='Model Settings'!$E$48)*'Model Settings'!$F$48+(N('Player Data'!AX78)&gt;='Model Settings'!$E$49)*'Model Settings'!$F$49+(N('Player Data'!BL78)&gt;='Model Settings'!$E$50)*'Model Settings'!$F$50+(N('Player Data'!BI78)&gt;='Model Settings'!$E$51)*'Model Settings'!$F$51)/('Model Settings'!$F$45+'Model Settings'!$F$46+'Model Settings'!$F$47+'Model Settings'!$F$48+'Model Settings'!$F$49+'Model Settings'!$F$50+'Model Settings'!$F$51),0)</f>
        <v>0</v>
      </c>
      <c r="H78" s="34" t="str">
        <f aca="false">IF(AND(B78&lt;'Model Settings'!$E$66,E78&lt;'Model Settings'!$E$68),"Non-problem",IF(E78&gt;='Model Settings'!$E$68,"Financially vulnerable",IF(OR(N('Player Data'!BY78)&gt;=1,N('Player Data'!BX78)&gt;=2,N('Player Data'!BW78)&gt;=3),"Emotionally vulnerable","At-risk")))</f>
        <v>Non-problem</v>
      </c>
      <c r="I78" s="34" t="str">
        <f aca="false">IF(OR(N('Player Data'!BY78)&gt;=1,'Player Data'!BZ78="Yes"),"Alert","None")</f>
        <v>None</v>
      </c>
      <c r="J78" s="34" t="str">
        <f aca="false">IF(OR(B78&gt;='Model Settings'!$E$67,'Player Data'!BM78="Yes",I78="Alert"),"Suppress",IF(AND(B78&gt;='Model Settings'!$E$66,'Player Data'!G78="Yes"),"Review VIP","Allow"))</f>
        <v>Allow</v>
      </c>
      <c r="K78" s="50" t="n">
        <f aca="false">ROUND(100*((N('Player Data'!CH78)&gt;='Model Settings'!$E$52)*'Model Settings'!$F$52+(N('Player Data'!CI78)&gt;='Model Settings'!$E$53)*'Model Settings'!$F$53+(N('Player Data'!R78)&gt;='Model Settings'!$E$54)*'Model Settings'!$F$54+(N('Player Data'!Y78)&gt;='Model Settings'!$E$55)*'Model Settings'!$F$55+(N('Player Data'!AS78)&gt;='Model Settings'!$E$56)*'Model Settings'!$F$56)/('Model Settings'!$F$52+'Model Settings'!$F$53+'Model Settings'!$F$54+'Model Settings'!$F$55+'Model Settings'!$F$56),0)</f>
        <v>0</v>
      </c>
      <c r="L78" s="34" t="str">
        <f aca="false">IF('Player Data'!D78="Spain",ROUND(100*((N('Player Data'!H78)&gt;='Model Settings'!$E$57)*'Model Settings'!$F$57+(N('Player Data'!AI78)&gt;='Model Settings'!$E$58)*'Model Settings'!$F$58+(N('Player Data'!AL78)&gt;='Model Settings'!$E$59)*'Model Settings'!$F$59+(N('Player Data'!M78)&gt;='Model Settings'!$E$60)*'Model Settings'!$F$60+(N('Player Data'!X78)&lt;='Model Settings'!$E$61)*'Model Settings'!$F$61+(N('Player Data'!Y78)&gt;='Model Settings'!$E$62)*'Model Settings'!$F$62+(N('Player Data'!P78)&gt;='Model Settings'!$E$63)*'Model Settings'!$F$63)/('Model Settings'!$F$57+'Model Settings'!$F$58+'Model Settings'!$F$59+'Model Settings'!$F$60+'Model Settings'!$F$61+'Model Settings'!$F$62+'Model Settings'!$F$63),0),"n/a")</f>
        <v>n/a</v>
      </c>
      <c r="M78" s="34" t="str">
        <f aca="false">IF('Player Data'!CA78="None","No contact yet",IF('Player Data'!CA78="Improved","Working",IF('Player Data'!CA78="No change","Review approach","Escalate")))</f>
        <v>Working</v>
      </c>
      <c r="N78" s="49" t="str">
        <f aca="false">IF(OR('Player Data'!BM78="Yes",I78="Alert"),"High",IF(B78&gt;='Model Settings'!$E$67,"High",IF(OR(B78&gt;='Model Settings'!$E$66,D78&gt;='Model Settings'!$E$68,F78&gt;='Model Settings'!$E$68,K78&gt;='Model Settings'!$E$68),"Medium","Low")))</f>
        <v>Low</v>
      </c>
      <c r="O78" s="34" t="str">
        <f aca="false">IF(N78="High","Contact player + review within 48h; stop marketing",IF(N78="Medium","Safer gambling message; monitor weekly","No action; routine monitoring"))</f>
        <v>No action; routine monitoring</v>
      </c>
      <c r="P78" s="34" t="n">
        <f aca="false">IF(OR(N78="High",AND('Model Settings'!$E$70="High+Medium",N78="Medium")),1,0)</f>
        <v>0</v>
      </c>
      <c r="Q78" s="34" t="n">
        <f aca="false">'Player Data'!CM78</f>
        <v>0</v>
      </c>
    </row>
    <row r="79" customFormat="false" ht="15" hidden="false" customHeight="false" outlineLevel="0" collapsed="false">
      <c r="A79" s="49" t="str">
        <f aca="false">'Player Data'!A79</f>
        <v>P074</v>
      </c>
      <c r="B79" s="50" t="n">
        <f aca="false">ROUND(100*((N('Player Data'!U79)&gt;='Model Settings'!$E$5)*'Model Settings'!$F$5+(N('Player Data'!AT79)&gt;='Model Settings'!$E$6)*'Model Settings'!$F$6+(N('Player Data'!BI79)&gt;='Model Settings'!$E$7)*'Model Settings'!$F$7+(N('Player Data'!AL79)&gt;='Model Settings'!$E$8)*'Model Settings'!$F$8+(N('Player Data'!AH79)&gt;='Model Settings'!$E$9)*'Model Settings'!$F$9+(N('Player Data'!B79)&lt;='Model Settings'!$E$10)*'Model Settings'!$F$10+(N('Player Data'!M79)&gt;='Model Settings'!$E$11)*'Model Settings'!$F$11+(N('Player Data'!J79)&lt;='Model Settings'!$E$12)*'Model Settings'!$F$12+(N('Player Data'!V79)&gt;='Model Settings'!$E$13)*'Model Settings'!$F$13+(N('Player Data'!W79)&gt;='Model Settings'!$E$14)*'Model Settings'!$F$14+(N('Player Data'!AE79)&gt;='Model Settings'!$E$15)*'Model Settings'!$F$15+(N('Player Data'!BF79)&gt;='Model Settings'!$E$16)*'Model Settings'!$F$16+(N('Player Data'!AX79)&gt;='Model Settings'!$E$17)*'Model Settings'!$F$17+(N('Player Data'!AP79)&gt;='Model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79" s="34" t="str">
        <f aca="false">IF('Player Data'!E79&lt;='Model Settings'!$E$69,ROUND(100*((N('Player Data'!H79)&gt;='Model Settings'!$E$19)*'Model Settings'!$F$19+(N('Player Data'!S79)&gt;='Model Settings'!$E$20)*'Model Settings'!$F$20+(N('Player Data'!AH79)&gt;='Model Settings'!$E$21)*'Model Settings'!$F$21+(N('Player Data'!AX79)&gt;='Model Settings'!$E$22)*'Model Settings'!$F$22+(N('Player Data'!Y79)&gt;='Model Settings'!$E$23)*'Model Settings'!$F$23+(N('Player Data'!AM79)&gt;='Model Settings'!$E$24)*'Model Settings'!$F$24)/('Model Settings'!$F$19+'Model Settings'!$F$20+'Model Settings'!$F$21+'Model Settings'!$F$22+'Model Settings'!$F$23+'Model Settings'!$F$24),0),"n/a")</f>
        <v>n/a</v>
      </c>
      <c r="D79" s="50" t="n">
        <f aca="false">ROUND(100*((N('Player Data'!U79)&gt;='Model Settings'!$E$25)*'Model Settings'!$F$25+(N('Player Data'!V79)&gt;='Model Settings'!$E$26)*'Model Settings'!$F$26+(N('Player Data'!W79)&gt;='Model Settings'!$E$27)*'Model Settings'!$F$27+(N('Player Data'!AT79)&gt;='Model Settings'!$E$28)*'Model Settings'!$F$28+(N('Player Data'!AE79)&gt;='Model Settings'!$E$29)*'Model Settings'!$F$29+(N('Player Data'!AO79)&gt;='Model Settings'!$E$30)*'Model Settings'!$F$30+(N('Player Data'!AG79)&gt;='Model Settings'!$E$31)*'Model Settings'!$F$31)/('Model Settings'!$F$25+'Model Settings'!$F$26+'Model Settings'!$F$27+'Model Settings'!$F$28+'Model Settings'!$F$29+'Model Settings'!$F$30+'Model Settings'!$F$31),0)</f>
        <v>29</v>
      </c>
      <c r="E79" s="50" t="n">
        <f aca="false">ROUND(100*((N('Player Data'!Z79)&gt;='Model Settings'!$E$32)*'Model Settings'!$F$32+(N('Player Data'!BN79)&gt;='Model Settings'!$E$33)*'Model Settings'!$F$33+(N('Player Data'!BO79)&gt;='Model Settings'!$E$34)*'Model Settings'!$F$34+(N('Player Data'!BP79)&gt;='Model Settings'!$E$35)*'Model Settings'!$F$35+('Player Data'!BR79='Model Settings'!$E$36)*'Model Settings'!$F$36+(N('Player Data'!AW79)&gt;='Model Settings'!$E$37)*'Model Settings'!$F$37+(N('Player Data'!AF79)&lt;='Model Settings'!$E$38)*'Model Settings'!$F$38)/('Model Settings'!$F$32+'Model Settings'!$F$33+'Model Settings'!$F$34+'Model Settings'!$F$35+'Model Settings'!$F$36+'Model Settings'!$F$37+'Model Settings'!$F$38),0)</f>
        <v>14</v>
      </c>
      <c r="F79" s="50" t="n">
        <f aca="false">ROUND(100*((N('Player Data'!K79)&gt;='Model Settings'!$E$39)*'Model Settings'!$F$39+(N('Player Data'!P79)&gt;='Model Settings'!$E$40)*'Model Settings'!$F$40+(N('Player Data'!M79)&gt;='Model Settings'!$E$41)*'Model Settings'!$F$41+(N('Player Data'!AU79)&gt;='Model Settings'!$E$42)*'Model Settings'!$F$42+(N('Player Data'!CL79)&gt;='Model Settings'!$E$43)*'Model Settings'!$F$43+(N('Player Data'!Q79)&gt;='Model Settings'!$E$44)*'Model Settings'!$F$44)/('Model Settings'!$F$39+'Model Settings'!$F$40+'Model Settings'!$F$41+'Model Settings'!$F$42+'Model Settings'!$F$43+'Model Settings'!$F$44),0)</f>
        <v>17</v>
      </c>
      <c r="G79" s="50" t="n">
        <f aca="false">ROUND(100*((N('Player Data'!BE79)&gt;='Model Settings'!$E$45)*'Model Settings'!$F$45+(N('Player Data'!BH79)&gt;='Model Settings'!$E$46)*'Model Settings'!$F$46+(N('Player Data'!U79)&gt;='Model Settings'!$E$47)*'Model Settings'!$F$47+(N('Player Data'!BN79)&gt;='Model Settings'!$E$48)*'Model Settings'!$F$48+(N('Player Data'!AX79)&gt;='Model Settings'!$E$49)*'Model Settings'!$F$49+(N('Player Data'!BL79)&gt;='Model Settings'!$E$50)*'Model Settings'!$F$50+(N('Player Data'!BI79)&gt;='Model Settings'!$E$51)*'Model Settings'!$F$51)/('Model Settings'!$F$45+'Model Settings'!$F$46+'Model Settings'!$F$47+'Model Settings'!$F$48+'Model Settings'!$F$49+'Model Settings'!$F$50+'Model Settings'!$F$51),0)</f>
        <v>29</v>
      </c>
      <c r="H79" s="34" t="str">
        <f aca="false">IF(AND(B79&lt;'Model Settings'!$E$66,E79&lt;'Model Settings'!$E$68),"Non-problem",IF(E79&gt;='Model Settings'!$E$68,"Financially vulnerable",IF(OR(N('Player Data'!BY79)&gt;=1,N('Player Data'!BX79)&gt;=2,N('Player Data'!BW79)&gt;=3),"Emotionally vulnerable","At-risk")))</f>
        <v>Non-problem</v>
      </c>
      <c r="I79" s="34" t="str">
        <f aca="false">IF(OR(N('Player Data'!BY79)&gt;=1,'Player Data'!BZ79="Yes"),"Alert","None")</f>
        <v>None</v>
      </c>
      <c r="J79" s="34" t="str">
        <f aca="false">IF(OR(B79&gt;='Model Settings'!$E$67,'Player Data'!BM79="Yes",I79="Alert"),"Suppress",IF(AND(B79&gt;='Model Settings'!$E$66,'Player Data'!G79="Yes"),"Review VIP","Allow"))</f>
        <v>Allow</v>
      </c>
      <c r="K79" s="50" t="n">
        <f aca="false">ROUND(100*((N('Player Data'!CH79)&gt;='Model Settings'!$E$52)*'Model Settings'!$F$52+(N('Player Data'!CI79)&gt;='Model Settings'!$E$53)*'Model Settings'!$F$53+(N('Player Data'!R79)&gt;='Model Settings'!$E$54)*'Model Settings'!$F$54+(N('Player Data'!Y79)&gt;='Model Settings'!$E$55)*'Model Settings'!$F$55+(N('Player Data'!AS79)&gt;='Model Settings'!$E$56)*'Model Settings'!$F$56)/('Model Settings'!$F$52+'Model Settings'!$F$53+'Model Settings'!$F$54+'Model Settings'!$F$55+'Model Settings'!$F$56),0)</f>
        <v>0</v>
      </c>
      <c r="L79" s="34" t="str">
        <f aca="false">IF('Player Data'!D79="Spain",ROUND(100*((N('Player Data'!H79)&gt;='Model Settings'!$E$57)*'Model Settings'!$F$57+(N('Player Data'!AI79)&gt;='Model Settings'!$E$58)*'Model Settings'!$F$58+(N('Player Data'!AL79)&gt;='Model Settings'!$E$59)*'Model Settings'!$F$59+(N('Player Data'!M79)&gt;='Model Settings'!$E$60)*'Model Settings'!$F$60+(N('Player Data'!X79)&lt;='Model Settings'!$E$61)*'Model Settings'!$F$61+(N('Player Data'!Y79)&gt;='Model Settings'!$E$62)*'Model Settings'!$F$62+(N('Player Data'!P79)&gt;='Model Settings'!$E$63)*'Model Settings'!$F$63)/('Model Settings'!$F$57+'Model Settings'!$F$58+'Model Settings'!$F$59+'Model Settings'!$F$60+'Model Settings'!$F$61+'Model Settings'!$F$62+'Model Settings'!$F$63),0),"n/a")</f>
        <v>n/a</v>
      </c>
      <c r="M79" s="34" t="str">
        <f aca="false">IF('Player Data'!CA79="None","No contact yet",IF('Player Data'!CA79="Improved","Working",IF('Player Data'!CA79="No change","Review approach","Escalate")))</f>
        <v>No contact yet</v>
      </c>
      <c r="N79" s="49" t="str">
        <f aca="false">IF(OR('Player Data'!BM79="Yes",I79="Alert"),"High",IF(B79&gt;='Model Settings'!$E$67,"High",IF(OR(B79&gt;='Model Settings'!$E$66,D79&gt;='Model Settings'!$E$68,F79&gt;='Model Settings'!$E$68,K79&gt;='Model Settings'!$E$68),"Medium","Low")))</f>
        <v>Low</v>
      </c>
      <c r="O79" s="34" t="str">
        <f aca="false">IF(N79="High","Contact player + review within 48h; stop marketing",IF(N79="Medium","Safer gambling message; monitor weekly","No action; routine monitoring"))</f>
        <v>No action; routine monitoring</v>
      </c>
      <c r="P79" s="34" t="n">
        <f aca="false">IF(OR(N79="High",AND('Model Settings'!$E$70="High+Medium",N79="Medium")),1,0)</f>
        <v>0</v>
      </c>
      <c r="Q79" s="34" t="n">
        <f aca="false">'Player Data'!CM79</f>
        <v>0</v>
      </c>
    </row>
    <row r="80" customFormat="false" ht="15" hidden="false" customHeight="false" outlineLevel="0" collapsed="false">
      <c r="A80" s="49" t="str">
        <f aca="false">'Player Data'!A80</f>
        <v>P075</v>
      </c>
      <c r="B80" s="50" t="n">
        <f aca="false">ROUND(100*((N('Player Data'!U80)&gt;='Model Settings'!$E$5)*'Model Settings'!$F$5+(N('Player Data'!AT80)&gt;='Model Settings'!$E$6)*'Model Settings'!$F$6+(N('Player Data'!BI80)&gt;='Model Settings'!$E$7)*'Model Settings'!$F$7+(N('Player Data'!AL80)&gt;='Model Settings'!$E$8)*'Model Settings'!$F$8+(N('Player Data'!AH80)&gt;='Model Settings'!$E$9)*'Model Settings'!$F$9+(N('Player Data'!B80)&lt;='Model Settings'!$E$10)*'Model Settings'!$F$10+(N('Player Data'!M80)&gt;='Model Settings'!$E$11)*'Model Settings'!$F$11+(N('Player Data'!J80)&lt;='Model Settings'!$E$12)*'Model Settings'!$F$12+(N('Player Data'!V80)&gt;='Model Settings'!$E$13)*'Model Settings'!$F$13+(N('Player Data'!W80)&gt;='Model Settings'!$E$14)*'Model Settings'!$F$14+(N('Player Data'!AE80)&gt;='Model Settings'!$E$15)*'Model Settings'!$F$15+(N('Player Data'!BF80)&gt;='Model Settings'!$E$16)*'Model Settings'!$F$16+(N('Player Data'!AX80)&gt;='Model Settings'!$E$17)*'Model Settings'!$F$17+(N('Player Data'!AP80)&gt;='Model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74</v>
      </c>
      <c r="C80" s="34" t="str">
        <f aca="false">IF('Player Data'!E80&lt;='Model Settings'!$E$69,ROUND(100*((N('Player Data'!H80)&gt;='Model Settings'!$E$19)*'Model Settings'!$F$19+(N('Player Data'!S80)&gt;='Model Settings'!$E$20)*'Model Settings'!$F$20+(N('Player Data'!AH80)&gt;='Model Settings'!$E$21)*'Model Settings'!$F$21+(N('Player Data'!AX80)&gt;='Model Settings'!$E$22)*'Model Settings'!$F$22+(N('Player Data'!Y80)&gt;='Model Settings'!$E$23)*'Model Settings'!$F$23+(N('Player Data'!AM80)&gt;='Model Settings'!$E$24)*'Model Settings'!$F$24)/('Model Settings'!$F$19+'Model Settings'!$F$20+'Model Settings'!$F$21+'Model Settings'!$F$22+'Model Settings'!$F$23+'Model Settings'!$F$24),0),"n/a")</f>
        <v>n/a</v>
      </c>
      <c r="D80" s="50" t="n">
        <f aca="false">ROUND(100*((N('Player Data'!U80)&gt;='Model Settings'!$E$25)*'Model Settings'!$F$25+(N('Player Data'!V80)&gt;='Model Settings'!$E$26)*'Model Settings'!$F$26+(N('Player Data'!W80)&gt;='Model Settings'!$E$27)*'Model Settings'!$F$27+(N('Player Data'!AT80)&gt;='Model Settings'!$E$28)*'Model Settings'!$F$28+(N('Player Data'!AE80)&gt;='Model Settings'!$E$29)*'Model Settings'!$F$29+(N('Player Data'!AO80)&gt;='Model Settings'!$E$30)*'Model Settings'!$F$30+(N('Player Data'!AG80)&gt;='Model Settings'!$E$31)*'Model Settings'!$F$31)/('Model Settings'!$F$25+'Model Settings'!$F$26+'Model Settings'!$F$27+'Model Settings'!$F$28+'Model Settings'!$F$29+'Model Settings'!$F$30+'Model Settings'!$F$31),0)</f>
        <v>71</v>
      </c>
      <c r="E80" s="50" t="n">
        <f aca="false">ROUND(100*((N('Player Data'!Z80)&gt;='Model Settings'!$E$32)*'Model Settings'!$F$32+(N('Player Data'!BN80)&gt;='Model Settings'!$E$33)*'Model Settings'!$F$33+(N('Player Data'!BO80)&gt;='Model Settings'!$E$34)*'Model Settings'!$F$34+(N('Player Data'!BP80)&gt;='Model Settings'!$E$35)*'Model Settings'!$F$35+('Player Data'!BR80='Model Settings'!$E$36)*'Model Settings'!$F$36+(N('Player Data'!AW80)&gt;='Model Settings'!$E$37)*'Model Settings'!$F$37+(N('Player Data'!AF80)&lt;='Model Settings'!$E$38)*'Model Settings'!$F$38)/('Model Settings'!$F$32+'Model Settings'!$F$33+'Model Settings'!$F$34+'Model Settings'!$F$35+'Model Settings'!$F$36+'Model Settings'!$F$37+'Model Settings'!$F$38),0)</f>
        <v>29</v>
      </c>
      <c r="F80" s="50" t="n">
        <f aca="false">ROUND(100*((N('Player Data'!K80)&gt;='Model Settings'!$E$39)*'Model Settings'!$F$39+(N('Player Data'!P80)&gt;='Model Settings'!$E$40)*'Model Settings'!$F$40+(N('Player Data'!M80)&gt;='Model Settings'!$E$41)*'Model Settings'!$F$41+(N('Player Data'!AU80)&gt;='Model Settings'!$E$42)*'Model Settings'!$F$42+(N('Player Data'!CL80)&gt;='Model Settings'!$E$43)*'Model Settings'!$F$43+(N('Player Data'!Q80)&gt;='Model Settings'!$E$44)*'Model Settings'!$F$44)/('Model Settings'!$F$39+'Model Settings'!$F$40+'Model Settings'!$F$41+'Model Settings'!$F$42+'Model Settings'!$F$43+'Model Settings'!$F$44),0)</f>
        <v>67</v>
      </c>
      <c r="G80" s="50" t="n">
        <f aca="false">ROUND(100*((N('Player Data'!BE80)&gt;='Model Settings'!$E$45)*'Model Settings'!$F$45+(N('Player Data'!BH80)&gt;='Model Settings'!$E$46)*'Model Settings'!$F$46+(N('Player Data'!U80)&gt;='Model Settings'!$E$47)*'Model Settings'!$F$47+(N('Player Data'!BN80)&gt;='Model Settings'!$E$48)*'Model Settings'!$F$48+(N('Player Data'!AX80)&gt;='Model Settings'!$E$49)*'Model Settings'!$F$49+(N('Player Data'!BL80)&gt;='Model Settings'!$E$50)*'Model Settings'!$F$50+(N('Player Data'!BI80)&gt;='Model Settings'!$E$51)*'Model Settings'!$F$51)/('Model Settings'!$F$45+'Model Settings'!$F$46+'Model Settings'!$F$47+'Model Settings'!$F$48+'Model Settings'!$F$49+'Model Settings'!$F$50+'Model Settings'!$F$51),0)</f>
        <v>43</v>
      </c>
      <c r="H80" s="34" t="str">
        <f aca="false">IF(AND(B80&lt;'Model Settings'!$E$66,E80&lt;'Model Settings'!$E$68),"Non-problem",IF(E80&gt;='Model Settings'!$E$68,"Financially vulnerable",IF(OR(N('Player Data'!BY80)&gt;=1,N('Player Data'!BX80)&gt;=2,N('Player Data'!BW80)&gt;=3),"Emotionally vulnerable","At-risk")))</f>
        <v>At-risk</v>
      </c>
      <c r="I80" s="34" t="str">
        <f aca="false">IF(OR(N('Player Data'!BY80)&gt;=1,'Player Data'!BZ80="Yes"),"Alert","None")</f>
        <v>Alert</v>
      </c>
      <c r="J80" s="34" t="str">
        <f aca="false">IF(OR(B80&gt;='Model Settings'!$E$67,'Player Data'!BM80="Yes",I80="Alert"),"Suppress",IF(AND(B80&gt;='Model Settings'!$E$66,'Player Data'!G80="Yes"),"Review VIP","Allow"))</f>
        <v>Suppress</v>
      </c>
      <c r="K80" s="50" t="n">
        <f aca="false">ROUND(100*((N('Player Data'!CH80)&gt;='Model Settings'!$E$52)*'Model Settings'!$F$52+(N('Player Data'!CI80)&gt;='Model Settings'!$E$53)*'Model Settings'!$F$53+(N('Player Data'!R80)&gt;='Model Settings'!$E$54)*'Model Settings'!$F$54+(N('Player Data'!Y80)&gt;='Model Settings'!$E$55)*'Model Settings'!$F$55+(N('Player Data'!AS80)&gt;='Model Settings'!$E$56)*'Model Settings'!$F$56)/('Model Settings'!$F$52+'Model Settings'!$F$53+'Model Settings'!$F$54+'Model Settings'!$F$55+'Model Settings'!$F$56),0)</f>
        <v>100</v>
      </c>
      <c r="L80" s="34" t="n">
        <f aca="false">IF('Player Data'!D80="Spain",ROUND(100*((N('Player Data'!H80)&gt;='Model Settings'!$E$57)*'Model Settings'!$F$57+(N('Player Data'!AI80)&gt;='Model Settings'!$E$58)*'Model Settings'!$F$58+(N('Player Data'!AL80)&gt;='Model Settings'!$E$59)*'Model Settings'!$F$59+(N('Player Data'!M80)&gt;='Model Settings'!$E$60)*'Model Settings'!$F$60+(N('Player Data'!X80)&lt;='Model Settings'!$E$61)*'Model Settings'!$F$61+(N('Player Data'!Y80)&gt;='Model Settings'!$E$62)*'Model Settings'!$F$62+(N('Player Data'!P80)&gt;='Model Settings'!$E$63)*'Model Settings'!$F$63)/('Model Settings'!$F$57+'Model Settings'!$F$58+'Model Settings'!$F$59+'Model Settings'!$F$60+'Model Settings'!$F$61+'Model Settings'!$F$62+'Model Settings'!$F$63),0),"n/a")</f>
        <v>86</v>
      </c>
      <c r="M80" s="34" t="str">
        <f aca="false">IF('Player Data'!CA80="None","No contact yet",IF('Player Data'!CA80="Improved","Working",IF('Player Data'!CA80="No change","Review approach","Escalate")))</f>
        <v>Review approach</v>
      </c>
      <c r="N80" s="49" t="str">
        <f aca="false">IF(OR('Player Data'!BM80="Yes",I80="Alert"),"High",IF(B80&gt;='Model Settings'!$E$67,"High",IF(OR(B80&gt;='Model Settings'!$E$66,D80&gt;='Model Settings'!$E$68,F80&gt;='Model Settings'!$E$68,K80&gt;='Model Settings'!$E$68),"Medium","Low")))</f>
        <v>High</v>
      </c>
      <c r="O80" s="34" t="str">
        <f aca="false">IF(N80="High","Contact player + review within 48h; stop marketing",IF(N80="Medium","Safer gambling message; monitor weekly","No action; routine monitoring"))</f>
        <v>Contact player + review within 48h; stop marketing</v>
      </c>
      <c r="P80" s="34" t="n">
        <f aca="false">IF(OR(N80="High",AND('Model Settings'!$E$70="High+Medium",N80="Medium")),1,0)</f>
        <v>1</v>
      </c>
      <c r="Q80" s="34" t="n">
        <f aca="false">'Player Data'!CM80</f>
        <v>1</v>
      </c>
    </row>
    <row r="81" customFormat="false" ht="15" hidden="false" customHeight="false" outlineLevel="0" collapsed="false">
      <c r="A81" s="49" t="str">
        <f aca="false">'Player Data'!A81</f>
        <v>P076</v>
      </c>
      <c r="B81" s="50" t="n">
        <f aca="false">ROUND(100*((N('Player Data'!U81)&gt;='Model Settings'!$E$5)*'Model Settings'!$F$5+(N('Player Data'!AT81)&gt;='Model Settings'!$E$6)*'Model Settings'!$F$6+(N('Player Data'!BI81)&gt;='Model Settings'!$E$7)*'Model Settings'!$F$7+(N('Player Data'!AL81)&gt;='Model Settings'!$E$8)*'Model Settings'!$F$8+(N('Player Data'!AH81)&gt;='Model Settings'!$E$9)*'Model Settings'!$F$9+(N('Player Data'!B81)&lt;='Model Settings'!$E$10)*'Model Settings'!$F$10+(N('Player Data'!M81)&gt;='Model Settings'!$E$11)*'Model Settings'!$F$11+(N('Player Data'!J81)&lt;='Model Settings'!$E$12)*'Model Settings'!$F$12+(N('Player Data'!V81)&gt;='Model Settings'!$E$13)*'Model Settings'!$F$13+(N('Player Data'!W81)&gt;='Model Settings'!$E$14)*'Model Settings'!$F$14+(N('Player Data'!AE81)&gt;='Model Settings'!$E$15)*'Model Settings'!$F$15+(N('Player Data'!BF81)&gt;='Model Settings'!$E$16)*'Model Settings'!$F$16+(N('Player Data'!AX81)&gt;='Model Settings'!$E$17)*'Model Settings'!$F$17+(N('Player Data'!AP81)&gt;='Model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30</v>
      </c>
      <c r="C81" s="34" t="str">
        <f aca="false">IF('Player Data'!E81&lt;='Model Settings'!$E$69,ROUND(100*((N('Player Data'!H81)&gt;='Model Settings'!$E$19)*'Model Settings'!$F$19+(N('Player Data'!S81)&gt;='Model Settings'!$E$20)*'Model Settings'!$F$20+(N('Player Data'!AH81)&gt;='Model Settings'!$E$21)*'Model Settings'!$F$21+(N('Player Data'!AX81)&gt;='Model Settings'!$E$22)*'Model Settings'!$F$22+(N('Player Data'!Y81)&gt;='Model Settings'!$E$23)*'Model Settings'!$F$23+(N('Player Data'!AM81)&gt;='Model Settings'!$E$24)*'Model Settings'!$F$24)/('Model Settings'!$F$19+'Model Settings'!$F$20+'Model Settings'!$F$21+'Model Settings'!$F$22+'Model Settings'!$F$23+'Model Settings'!$F$24),0),"n/a")</f>
        <v>n/a</v>
      </c>
      <c r="D81" s="50" t="n">
        <f aca="false">ROUND(100*((N('Player Data'!U81)&gt;='Model Settings'!$E$25)*'Model Settings'!$F$25+(N('Player Data'!V81)&gt;='Model Settings'!$E$26)*'Model Settings'!$F$26+(N('Player Data'!W81)&gt;='Model Settings'!$E$27)*'Model Settings'!$F$27+(N('Player Data'!AT81)&gt;='Model Settings'!$E$28)*'Model Settings'!$F$28+(N('Player Data'!AE81)&gt;='Model Settings'!$E$29)*'Model Settings'!$F$29+(N('Player Data'!AO81)&gt;='Model Settings'!$E$30)*'Model Settings'!$F$30+(N('Player Data'!AG81)&gt;='Model Settings'!$E$31)*'Model Settings'!$F$31)/('Model Settings'!$F$25+'Model Settings'!$F$26+'Model Settings'!$F$27+'Model Settings'!$F$28+'Model Settings'!$F$29+'Model Settings'!$F$30+'Model Settings'!$F$31),0)</f>
        <v>43</v>
      </c>
      <c r="E81" s="50" t="n">
        <f aca="false">ROUND(100*((N('Player Data'!Z81)&gt;='Model Settings'!$E$32)*'Model Settings'!$F$32+(N('Player Data'!BN81)&gt;='Model Settings'!$E$33)*'Model Settings'!$F$33+(N('Player Data'!BO81)&gt;='Model Settings'!$E$34)*'Model Settings'!$F$34+(N('Player Data'!BP81)&gt;='Model Settings'!$E$35)*'Model Settings'!$F$35+('Player Data'!BR81='Model Settings'!$E$36)*'Model Settings'!$F$36+(N('Player Data'!AW81)&gt;='Model Settings'!$E$37)*'Model Settings'!$F$37+(N('Player Data'!AF81)&lt;='Model Settings'!$E$38)*'Model Settings'!$F$38)/('Model Settings'!$F$32+'Model Settings'!$F$33+'Model Settings'!$F$34+'Model Settings'!$F$35+'Model Settings'!$F$36+'Model Settings'!$F$37+'Model Settings'!$F$38),0)</f>
        <v>14</v>
      </c>
      <c r="F81" s="50" t="n">
        <f aca="false">ROUND(100*((N('Player Data'!K81)&gt;='Model Settings'!$E$39)*'Model Settings'!$F$39+(N('Player Data'!P81)&gt;='Model Settings'!$E$40)*'Model Settings'!$F$40+(N('Player Data'!M81)&gt;='Model Settings'!$E$41)*'Model Settings'!$F$41+(N('Player Data'!AU81)&gt;='Model Settings'!$E$42)*'Model Settings'!$F$42+(N('Player Data'!CL81)&gt;='Model Settings'!$E$43)*'Model Settings'!$F$43+(N('Player Data'!Q81)&gt;='Model Settings'!$E$44)*'Model Settings'!$F$44)/('Model Settings'!$F$39+'Model Settings'!$F$40+'Model Settings'!$F$41+'Model Settings'!$F$42+'Model Settings'!$F$43+'Model Settings'!$F$44),0)</f>
        <v>17</v>
      </c>
      <c r="G81" s="50" t="n">
        <f aca="false">ROUND(100*((N('Player Data'!BE81)&gt;='Model Settings'!$E$45)*'Model Settings'!$F$45+(N('Player Data'!BH81)&gt;='Model Settings'!$E$46)*'Model Settings'!$F$46+(N('Player Data'!U81)&gt;='Model Settings'!$E$47)*'Model Settings'!$F$47+(N('Player Data'!BN81)&gt;='Model Settings'!$E$48)*'Model Settings'!$F$48+(N('Player Data'!AX81)&gt;='Model Settings'!$E$49)*'Model Settings'!$F$49+(N('Player Data'!BL81)&gt;='Model Settings'!$E$50)*'Model Settings'!$F$50+(N('Player Data'!BI81)&gt;='Model Settings'!$E$51)*'Model Settings'!$F$51)/('Model Settings'!$F$45+'Model Settings'!$F$46+'Model Settings'!$F$47+'Model Settings'!$F$48+'Model Settings'!$F$49+'Model Settings'!$F$50+'Model Settings'!$F$51),0)</f>
        <v>0</v>
      </c>
      <c r="H81" s="34" t="str">
        <f aca="false">IF(AND(B81&lt;'Model Settings'!$E$66,E81&lt;'Model Settings'!$E$68),"Non-problem",IF(E81&gt;='Model Settings'!$E$68,"Financially vulnerable",IF(OR(N('Player Data'!BY81)&gt;=1,N('Player Data'!BX81)&gt;=2,N('Player Data'!BW81)&gt;=3),"Emotionally vulnerable","At-risk")))</f>
        <v>Emotionally vulnerable</v>
      </c>
      <c r="I81" s="34" t="str">
        <f aca="false">IF(OR(N('Player Data'!BY81)&gt;=1,'Player Data'!BZ81="Yes"),"Alert","None")</f>
        <v>None</v>
      </c>
      <c r="J81" s="34" t="str">
        <f aca="false">IF(OR(B81&gt;='Model Settings'!$E$67,'Player Data'!BM81="Yes",I81="Alert"),"Suppress",IF(AND(B81&gt;='Model Settings'!$E$66,'Player Data'!G81="Yes"),"Review VIP","Allow"))</f>
        <v>Review VIP</v>
      </c>
      <c r="K81" s="50" t="n">
        <f aca="false">ROUND(100*((N('Player Data'!CH81)&gt;='Model Settings'!$E$52)*'Model Settings'!$F$52+(N('Player Data'!CI81)&gt;='Model Settings'!$E$53)*'Model Settings'!$F$53+(N('Player Data'!R81)&gt;='Model Settings'!$E$54)*'Model Settings'!$F$54+(N('Player Data'!Y81)&gt;='Model Settings'!$E$55)*'Model Settings'!$F$55+(N('Player Data'!AS81)&gt;='Model Settings'!$E$56)*'Model Settings'!$F$56)/('Model Settings'!$F$52+'Model Settings'!$F$53+'Model Settings'!$F$54+'Model Settings'!$F$55+'Model Settings'!$F$56),0)</f>
        <v>20</v>
      </c>
      <c r="L81" s="34" t="n">
        <f aca="false">IF('Player Data'!D81="Spain",ROUND(100*((N('Player Data'!H81)&gt;='Model Settings'!$E$57)*'Model Settings'!$F$57+(N('Player Data'!AI81)&gt;='Model Settings'!$E$58)*'Model Settings'!$F$58+(N('Player Data'!AL81)&gt;='Model Settings'!$E$59)*'Model Settings'!$F$59+(N('Player Data'!M81)&gt;='Model Settings'!$E$60)*'Model Settings'!$F$60+(N('Player Data'!X81)&lt;='Model Settings'!$E$61)*'Model Settings'!$F$61+(N('Player Data'!Y81)&gt;='Model Settings'!$E$62)*'Model Settings'!$F$62+(N('Player Data'!P81)&gt;='Model Settings'!$E$63)*'Model Settings'!$F$63)/('Model Settings'!$F$57+'Model Settings'!$F$58+'Model Settings'!$F$59+'Model Settings'!$F$60+'Model Settings'!$F$61+'Model Settings'!$F$62+'Model Settings'!$F$63),0),"n/a")</f>
        <v>14</v>
      </c>
      <c r="M81" s="34" t="str">
        <f aca="false">IF('Player Data'!CA81="None","No contact yet",IF('Player Data'!CA81="Improved","Working",IF('Player Data'!CA81="No change","Review approach","Escalate")))</f>
        <v>Review approach</v>
      </c>
      <c r="N81" s="49" t="str">
        <f aca="false">IF(OR('Player Data'!BM81="Yes",I81="Alert"),"High",IF(B81&gt;='Model Settings'!$E$67,"High",IF(OR(B81&gt;='Model Settings'!$E$66,D81&gt;='Model Settings'!$E$68,F81&gt;='Model Settings'!$E$68,K81&gt;='Model Settings'!$E$68),"Medium","Low")))</f>
        <v>Medium</v>
      </c>
      <c r="O81" s="34" t="str">
        <f aca="false">IF(N81="High","Contact player + review within 48h; stop marketing",IF(N81="Medium","Safer gambling message; monitor weekly","No action; routine monitoring"))</f>
        <v>Safer gambling message; monitor weekly</v>
      </c>
      <c r="P81" s="34" t="n">
        <f aca="false">IF(OR(N81="High",AND('Model Settings'!$E$70="High+Medium",N81="Medium")),1,0)</f>
        <v>0</v>
      </c>
      <c r="Q81" s="34" t="n">
        <f aca="false">'Player Data'!CM81</f>
        <v>0</v>
      </c>
    </row>
    <row r="82" customFormat="false" ht="15" hidden="false" customHeight="false" outlineLevel="0" collapsed="false">
      <c r="A82" s="49" t="str">
        <f aca="false">'Player Data'!A82</f>
        <v>P077</v>
      </c>
      <c r="B82" s="50" t="n">
        <f aca="false">ROUND(100*((N('Player Data'!U82)&gt;='Model Settings'!$E$5)*'Model Settings'!$F$5+(N('Player Data'!AT82)&gt;='Model Settings'!$E$6)*'Model Settings'!$F$6+(N('Player Data'!BI82)&gt;='Model Settings'!$E$7)*'Model Settings'!$F$7+(N('Player Data'!AL82)&gt;='Model Settings'!$E$8)*'Model Settings'!$F$8+(N('Player Data'!AH82)&gt;='Model Settings'!$E$9)*'Model Settings'!$F$9+(N('Player Data'!B82)&lt;='Model Settings'!$E$10)*'Model Settings'!$F$10+(N('Player Data'!M82)&gt;='Model Settings'!$E$11)*'Model Settings'!$F$11+(N('Player Data'!J82)&lt;='Model Settings'!$E$12)*'Model Settings'!$F$12+(N('Player Data'!V82)&gt;='Model Settings'!$E$13)*'Model Settings'!$F$13+(N('Player Data'!W82)&gt;='Model Settings'!$E$14)*'Model Settings'!$F$14+(N('Player Data'!AE82)&gt;='Model Settings'!$E$15)*'Model Settings'!$F$15+(N('Player Data'!BF82)&gt;='Model Settings'!$E$16)*'Model Settings'!$F$16+(N('Player Data'!AX82)&gt;='Model Settings'!$E$17)*'Model Settings'!$F$17+(N('Player Data'!AP82)&gt;='Model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22</v>
      </c>
      <c r="C82" s="34" t="str">
        <f aca="false">IF('Player Data'!E82&lt;='Model Settings'!$E$69,ROUND(100*((N('Player Data'!H82)&gt;='Model Settings'!$E$19)*'Model Settings'!$F$19+(N('Player Data'!S82)&gt;='Model Settings'!$E$20)*'Model Settings'!$F$20+(N('Player Data'!AH82)&gt;='Model Settings'!$E$21)*'Model Settings'!$F$21+(N('Player Data'!AX82)&gt;='Model Settings'!$E$22)*'Model Settings'!$F$22+(N('Player Data'!Y82)&gt;='Model Settings'!$E$23)*'Model Settings'!$F$23+(N('Player Data'!AM82)&gt;='Model Settings'!$E$24)*'Model Settings'!$F$24)/('Model Settings'!$F$19+'Model Settings'!$F$20+'Model Settings'!$F$21+'Model Settings'!$F$22+'Model Settings'!$F$23+'Model Settings'!$F$24),0),"n/a")</f>
        <v>n/a</v>
      </c>
      <c r="D82" s="50" t="n">
        <f aca="false">ROUND(100*((N('Player Data'!U82)&gt;='Model Settings'!$E$25)*'Model Settings'!$F$25+(N('Player Data'!V82)&gt;='Model Settings'!$E$26)*'Model Settings'!$F$26+(N('Player Data'!W82)&gt;='Model Settings'!$E$27)*'Model Settings'!$F$27+(N('Player Data'!AT82)&gt;='Model Settings'!$E$28)*'Model Settings'!$F$28+(N('Player Data'!AE82)&gt;='Model Settings'!$E$29)*'Model Settings'!$F$29+(N('Player Data'!AO82)&gt;='Model Settings'!$E$30)*'Model Settings'!$F$30+(N('Player Data'!AG82)&gt;='Model Settings'!$E$31)*'Model Settings'!$F$31)/('Model Settings'!$F$25+'Model Settings'!$F$26+'Model Settings'!$F$27+'Model Settings'!$F$28+'Model Settings'!$F$29+'Model Settings'!$F$30+'Model Settings'!$F$31),0)</f>
        <v>14</v>
      </c>
      <c r="E82" s="50" t="n">
        <f aca="false">ROUND(100*((N('Player Data'!Z82)&gt;='Model Settings'!$E$32)*'Model Settings'!$F$32+(N('Player Data'!BN82)&gt;='Model Settings'!$E$33)*'Model Settings'!$F$33+(N('Player Data'!BO82)&gt;='Model Settings'!$E$34)*'Model Settings'!$F$34+(N('Player Data'!BP82)&gt;='Model Settings'!$E$35)*'Model Settings'!$F$35+('Player Data'!BR82='Model Settings'!$E$36)*'Model Settings'!$F$36+(N('Player Data'!AW82)&gt;='Model Settings'!$E$37)*'Model Settings'!$F$37+(N('Player Data'!AF82)&lt;='Model Settings'!$E$38)*'Model Settings'!$F$38)/('Model Settings'!$F$32+'Model Settings'!$F$33+'Model Settings'!$F$34+'Model Settings'!$F$35+'Model Settings'!$F$36+'Model Settings'!$F$37+'Model Settings'!$F$38),0)</f>
        <v>0</v>
      </c>
      <c r="F82" s="50" t="n">
        <f aca="false">ROUND(100*((N('Player Data'!K82)&gt;='Model Settings'!$E$39)*'Model Settings'!$F$39+(N('Player Data'!P82)&gt;='Model Settings'!$E$40)*'Model Settings'!$F$40+(N('Player Data'!M82)&gt;='Model Settings'!$E$41)*'Model Settings'!$F$41+(N('Player Data'!AU82)&gt;='Model Settings'!$E$42)*'Model Settings'!$F$42+(N('Player Data'!CL82)&gt;='Model Settings'!$E$43)*'Model Settings'!$F$43+(N('Player Data'!Q82)&gt;='Model Settings'!$E$44)*'Model Settings'!$F$44)/('Model Settings'!$F$39+'Model Settings'!$F$40+'Model Settings'!$F$41+'Model Settings'!$F$42+'Model Settings'!$F$43+'Model Settings'!$F$44),0)</f>
        <v>0</v>
      </c>
      <c r="G82" s="50" t="n">
        <f aca="false">ROUND(100*((N('Player Data'!BE82)&gt;='Model Settings'!$E$45)*'Model Settings'!$F$45+(N('Player Data'!BH82)&gt;='Model Settings'!$E$46)*'Model Settings'!$F$46+(N('Player Data'!U82)&gt;='Model Settings'!$E$47)*'Model Settings'!$F$47+(N('Player Data'!BN82)&gt;='Model Settings'!$E$48)*'Model Settings'!$F$48+(N('Player Data'!AX82)&gt;='Model Settings'!$E$49)*'Model Settings'!$F$49+(N('Player Data'!BL82)&gt;='Model Settings'!$E$50)*'Model Settings'!$F$50+(N('Player Data'!BI82)&gt;='Model Settings'!$E$51)*'Model Settings'!$F$51)/('Model Settings'!$F$45+'Model Settings'!$F$46+'Model Settings'!$F$47+'Model Settings'!$F$48+'Model Settings'!$F$49+'Model Settings'!$F$50+'Model Settings'!$F$51),0)</f>
        <v>29</v>
      </c>
      <c r="H82" s="34" t="str">
        <f aca="false">IF(AND(B82&lt;'Model Settings'!$E$66,E82&lt;'Model Settings'!$E$68),"Non-problem",IF(E82&gt;='Model Settings'!$E$68,"Financially vulnerable",IF(OR(N('Player Data'!BY82)&gt;=1,N('Player Data'!BX82)&gt;=2,N('Player Data'!BW82)&gt;=3),"Emotionally vulnerable","At-risk")))</f>
        <v>At-risk</v>
      </c>
      <c r="I82" s="34" t="str">
        <f aca="false">IF(OR(N('Player Data'!BY82)&gt;=1,'Player Data'!BZ82="Yes"),"Alert","None")</f>
        <v>None</v>
      </c>
      <c r="J82" s="34" t="str">
        <f aca="false">IF(OR(B82&gt;='Model Settings'!$E$67,'Player Data'!BM82="Yes",I82="Alert"),"Suppress",IF(AND(B82&gt;='Model Settings'!$E$66,'Player Data'!G82="Yes"),"Review VIP","Allow"))</f>
        <v>Allow</v>
      </c>
      <c r="K82" s="50" t="n">
        <f aca="false">ROUND(100*((N('Player Data'!CH82)&gt;='Model Settings'!$E$52)*'Model Settings'!$F$52+(N('Player Data'!CI82)&gt;='Model Settings'!$E$53)*'Model Settings'!$F$53+(N('Player Data'!R82)&gt;='Model Settings'!$E$54)*'Model Settings'!$F$54+(N('Player Data'!Y82)&gt;='Model Settings'!$E$55)*'Model Settings'!$F$55+(N('Player Data'!AS82)&gt;='Model Settings'!$E$56)*'Model Settings'!$F$56)/('Model Settings'!$F$52+'Model Settings'!$F$53+'Model Settings'!$F$54+'Model Settings'!$F$55+'Model Settings'!$F$56),0)</f>
        <v>0</v>
      </c>
      <c r="L82" s="34" t="str">
        <f aca="false">IF('Player Data'!D82="Spain",ROUND(100*((N('Player Data'!H82)&gt;='Model Settings'!$E$57)*'Model Settings'!$F$57+(N('Player Data'!AI82)&gt;='Model Settings'!$E$58)*'Model Settings'!$F$58+(N('Player Data'!AL82)&gt;='Model Settings'!$E$59)*'Model Settings'!$F$59+(N('Player Data'!M82)&gt;='Model Settings'!$E$60)*'Model Settings'!$F$60+(N('Player Data'!X82)&lt;='Model Settings'!$E$61)*'Model Settings'!$F$61+(N('Player Data'!Y82)&gt;='Model Settings'!$E$62)*'Model Settings'!$F$62+(N('Player Data'!P82)&gt;='Model Settings'!$E$63)*'Model Settings'!$F$63)/('Model Settings'!$F$57+'Model Settings'!$F$58+'Model Settings'!$F$59+'Model Settings'!$F$60+'Model Settings'!$F$61+'Model Settings'!$F$62+'Model Settings'!$F$63),0),"n/a")</f>
        <v>n/a</v>
      </c>
      <c r="M82" s="34" t="str">
        <f aca="false">IF('Player Data'!CA82="None","No contact yet",IF('Player Data'!CA82="Improved","Working",IF('Player Data'!CA82="No change","Review approach","Escalate")))</f>
        <v>No contact yet</v>
      </c>
      <c r="N82" s="49" t="str">
        <f aca="false">IF(OR('Player Data'!BM82="Yes",I82="Alert"),"High",IF(B82&gt;='Model Settings'!$E$67,"High",IF(OR(B82&gt;='Model Settings'!$E$66,D82&gt;='Model Settings'!$E$68,F82&gt;='Model Settings'!$E$68,K82&gt;='Model Settings'!$E$68),"Medium","Low")))</f>
        <v>Medium</v>
      </c>
      <c r="O82" s="34" t="str">
        <f aca="false">IF(N82="High","Contact player + review within 48h; stop marketing",IF(N82="Medium","Safer gambling message; monitor weekly","No action; routine monitoring"))</f>
        <v>Safer gambling message; monitor weekly</v>
      </c>
      <c r="P82" s="34" t="n">
        <f aca="false">IF(OR(N82="High",AND('Model Settings'!$E$70="High+Medium",N82="Medium")),1,0)</f>
        <v>0</v>
      </c>
      <c r="Q82" s="34" t="n">
        <f aca="false">'Player Data'!CM82</f>
        <v>0</v>
      </c>
    </row>
    <row r="83" customFormat="false" ht="15" hidden="false" customHeight="false" outlineLevel="0" collapsed="false">
      <c r="A83" s="49" t="str">
        <f aca="false">'Player Data'!A83</f>
        <v>P078</v>
      </c>
      <c r="B83" s="50" t="n">
        <f aca="false">ROUND(100*((N('Player Data'!U83)&gt;='Model Settings'!$E$5)*'Model Settings'!$F$5+(N('Player Data'!AT83)&gt;='Model Settings'!$E$6)*'Model Settings'!$F$6+(N('Player Data'!BI83)&gt;='Model Settings'!$E$7)*'Model Settings'!$F$7+(N('Player Data'!AL83)&gt;='Model Settings'!$E$8)*'Model Settings'!$F$8+(N('Player Data'!AH83)&gt;='Model Settings'!$E$9)*'Model Settings'!$F$9+(N('Player Data'!B83)&lt;='Model Settings'!$E$10)*'Model Settings'!$F$10+(N('Player Data'!M83)&gt;='Model Settings'!$E$11)*'Model Settings'!$F$11+(N('Player Data'!J83)&lt;='Model Settings'!$E$12)*'Model Settings'!$F$12+(N('Player Data'!V83)&gt;='Model Settings'!$E$13)*'Model Settings'!$F$13+(N('Player Data'!W83)&gt;='Model Settings'!$E$14)*'Model Settings'!$F$14+(N('Player Data'!AE83)&gt;='Model Settings'!$E$15)*'Model Settings'!$F$15+(N('Player Data'!BF83)&gt;='Model Settings'!$E$16)*'Model Settings'!$F$16+(N('Player Data'!AX83)&gt;='Model Settings'!$E$17)*'Model Settings'!$F$17+(N('Player Data'!AP83)&gt;='Model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15</v>
      </c>
      <c r="C83" s="34" t="str">
        <f aca="false">IF('Player Data'!E83&lt;='Model Settings'!$E$69,ROUND(100*((N('Player Data'!H83)&gt;='Model Settings'!$E$19)*'Model Settings'!$F$19+(N('Player Data'!S83)&gt;='Model Settings'!$E$20)*'Model Settings'!$F$20+(N('Player Data'!AH83)&gt;='Model Settings'!$E$21)*'Model Settings'!$F$21+(N('Player Data'!AX83)&gt;='Model Settings'!$E$22)*'Model Settings'!$F$22+(N('Player Data'!Y83)&gt;='Model Settings'!$E$23)*'Model Settings'!$F$23+(N('Player Data'!AM83)&gt;='Model Settings'!$E$24)*'Model Settings'!$F$24)/('Model Settings'!$F$19+'Model Settings'!$F$20+'Model Settings'!$F$21+'Model Settings'!$F$22+'Model Settings'!$F$23+'Model Settings'!$F$24),0),"n/a")</f>
        <v>n/a</v>
      </c>
      <c r="D83" s="50" t="n">
        <f aca="false">ROUND(100*((N('Player Data'!U83)&gt;='Model Settings'!$E$25)*'Model Settings'!$F$25+(N('Player Data'!V83)&gt;='Model Settings'!$E$26)*'Model Settings'!$F$26+(N('Player Data'!W83)&gt;='Model Settings'!$E$27)*'Model Settings'!$F$27+(N('Player Data'!AT83)&gt;='Model Settings'!$E$28)*'Model Settings'!$F$28+(N('Player Data'!AE83)&gt;='Model Settings'!$E$29)*'Model Settings'!$F$29+(N('Player Data'!AO83)&gt;='Model Settings'!$E$30)*'Model Settings'!$F$30+(N('Player Data'!AG83)&gt;='Model Settings'!$E$31)*'Model Settings'!$F$31)/('Model Settings'!$F$25+'Model Settings'!$F$26+'Model Settings'!$F$27+'Model Settings'!$F$28+'Model Settings'!$F$29+'Model Settings'!$F$30+'Model Settings'!$F$31),0)</f>
        <v>0</v>
      </c>
      <c r="E83" s="50" t="n">
        <f aca="false">ROUND(100*((N('Player Data'!Z83)&gt;='Model Settings'!$E$32)*'Model Settings'!$F$32+(N('Player Data'!BN83)&gt;='Model Settings'!$E$33)*'Model Settings'!$F$33+(N('Player Data'!BO83)&gt;='Model Settings'!$E$34)*'Model Settings'!$F$34+(N('Player Data'!BP83)&gt;='Model Settings'!$E$35)*'Model Settings'!$F$35+('Player Data'!BR83='Model Settings'!$E$36)*'Model Settings'!$F$36+(N('Player Data'!AW83)&gt;='Model Settings'!$E$37)*'Model Settings'!$F$37+(N('Player Data'!AF83)&lt;='Model Settings'!$E$38)*'Model Settings'!$F$38)/('Model Settings'!$F$32+'Model Settings'!$F$33+'Model Settings'!$F$34+'Model Settings'!$F$35+'Model Settings'!$F$36+'Model Settings'!$F$37+'Model Settings'!$F$38),0)</f>
        <v>14</v>
      </c>
      <c r="F83" s="50" t="n">
        <f aca="false">ROUND(100*((N('Player Data'!K83)&gt;='Model Settings'!$E$39)*'Model Settings'!$F$39+(N('Player Data'!P83)&gt;='Model Settings'!$E$40)*'Model Settings'!$F$40+(N('Player Data'!M83)&gt;='Model Settings'!$E$41)*'Model Settings'!$F$41+(N('Player Data'!AU83)&gt;='Model Settings'!$E$42)*'Model Settings'!$F$42+(N('Player Data'!CL83)&gt;='Model Settings'!$E$43)*'Model Settings'!$F$43+(N('Player Data'!Q83)&gt;='Model Settings'!$E$44)*'Model Settings'!$F$44)/('Model Settings'!$F$39+'Model Settings'!$F$40+'Model Settings'!$F$41+'Model Settings'!$F$42+'Model Settings'!$F$43+'Model Settings'!$F$44),0)</f>
        <v>33</v>
      </c>
      <c r="G83" s="50" t="n">
        <f aca="false">ROUND(100*((N('Player Data'!BE83)&gt;='Model Settings'!$E$45)*'Model Settings'!$F$45+(N('Player Data'!BH83)&gt;='Model Settings'!$E$46)*'Model Settings'!$F$46+(N('Player Data'!U83)&gt;='Model Settings'!$E$47)*'Model Settings'!$F$47+(N('Player Data'!BN83)&gt;='Model Settings'!$E$48)*'Model Settings'!$F$48+(N('Player Data'!AX83)&gt;='Model Settings'!$E$49)*'Model Settings'!$F$49+(N('Player Data'!BL83)&gt;='Model Settings'!$E$50)*'Model Settings'!$F$50+(N('Player Data'!BI83)&gt;='Model Settings'!$E$51)*'Model Settings'!$F$51)/('Model Settings'!$F$45+'Model Settings'!$F$46+'Model Settings'!$F$47+'Model Settings'!$F$48+'Model Settings'!$F$49+'Model Settings'!$F$50+'Model Settings'!$F$51),0)</f>
        <v>0</v>
      </c>
      <c r="H83" s="34" t="str">
        <f aca="false">IF(AND(B83&lt;'Model Settings'!$E$66,E83&lt;'Model Settings'!$E$68),"Non-problem",IF(E83&gt;='Model Settings'!$E$68,"Financially vulnerable",IF(OR(N('Player Data'!BY83)&gt;=1,N('Player Data'!BX83)&gt;=2,N('Player Data'!BW83)&gt;=3),"Emotionally vulnerable","At-risk")))</f>
        <v>Non-problem</v>
      </c>
      <c r="I83" s="34" t="str">
        <f aca="false">IF(OR(N('Player Data'!BY83)&gt;=1,'Player Data'!BZ83="Yes"),"Alert","None")</f>
        <v>None</v>
      </c>
      <c r="J83" s="34" t="str">
        <f aca="false">IF(OR(B83&gt;='Model Settings'!$E$67,'Player Data'!BM83="Yes",I83="Alert"),"Suppress",IF(AND(B83&gt;='Model Settings'!$E$66,'Player Data'!G83="Yes"),"Review VIP","Allow"))</f>
        <v>Allow</v>
      </c>
      <c r="K83" s="50" t="n">
        <f aca="false">ROUND(100*((N('Player Data'!CH83)&gt;='Model Settings'!$E$52)*'Model Settings'!$F$52+(N('Player Data'!CI83)&gt;='Model Settings'!$E$53)*'Model Settings'!$F$53+(N('Player Data'!R83)&gt;='Model Settings'!$E$54)*'Model Settings'!$F$54+(N('Player Data'!Y83)&gt;='Model Settings'!$E$55)*'Model Settings'!$F$55+(N('Player Data'!AS83)&gt;='Model Settings'!$E$56)*'Model Settings'!$F$56)/('Model Settings'!$F$52+'Model Settings'!$F$53+'Model Settings'!$F$54+'Model Settings'!$F$55+'Model Settings'!$F$56),0)</f>
        <v>0</v>
      </c>
      <c r="L83" s="34" t="str">
        <f aca="false">IF('Player Data'!D83="Spain",ROUND(100*((N('Player Data'!H83)&gt;='Model Settings'!$E$57)*'Model Settings'!$F$57+(N('Player Data'!AI83)&gt;='Model Settings'!$E$58)*'Model Settings'!$F$58+(N('Player Data'!AL83)&gt;='Model Settings'!$E$59)*'Model Settings'!$F$59+(N('Player Data'!M83)&gt;='Model Settings'!$E$60)*'Model Settings'!$F$60+(N('Player Data'!X83)&lt;='Model Settings'!$E$61)*'Model Settings'!$F$61+(N('Player Data'!Y83)&gt;='Model Settings'!$E$62)*'Model Settings'!$F$62+(N('Player Data'!P83)&gt;='Model Settings'!$E$63)*'Model Settings'!$F$63)/('Model Settings'!$F$57+'Model Settings'!$F$58+'Model Settings'!$F$59+'Model Settings'!$F$60+'Model Settings'!$F$61+'Model Settings'!$F$62+'Model Settings'!$F$63),0),"n/a")</f>
        <v>n/a</v>
      </c>
      <c r="M83" s="34" t="str">
        <f aca="false">IF('Player Data'!CA83="None","No contact yet",IF('Player Data'!CA83="Improved","Working",IF('Player Data'!CA83="No change","Review approach","Escalate")))</f>
        <v>No contact yet</v>
      </c>
      <c r="N83" s="49" t="str">
        <f aca="false">IF(OR('Player Data'!BM83="Yes",I83="Alert"),"High",IF(B83&gt;='Model Settings'!$E$67,"High",IF(OR(B83&gt;='Model Settings'!$E$66,D83&gt;='Model Settings'!$E$68,F83&gt;='Model Settings'!$E$68,K83&gt;='Model Settings'!$E$68),"Medium","Low")))</f>
        <v>Low</v>
      </c>
      <c r="O83" s="34" t="str">
        <f aca="false">IF(N83="High","Contact player + review within 48h; stop marketing",IF(N83="Medium","Safer gambling message; monitor weekly","No action; routine monitoring"))</f>
        <v>No action; routine monitoring</v>
      </c>
      <c r="P83" s="34" t="n">
        <f aca="false">IF(OR(N83="High",AND('Model Settings'!$E$70="High+Medium",N83="Medium")),1,0)</f>
        <v>0</v>
      </c>
      <c r="Q83" s="34" t="n">
        <f aca="false">'Player Data'!CM83</f>
        <v>0</v>
      </c>
    </row>
    <row r="84" customFormat="false" ht="15" hidden="false" customHeight="false" outlineLevel="0" collapsed="false">
      <c r="A84" s="49" t="str">
        <f aca="false">'Player Data'!A84</f>
        <v>P079</v>
      </c>
      <c r="B84" s="50" t="n">
        <f aca="false">ROUND(100*((N('Player Data'!U84)&gt;='Model Settings'!$E$5)*'Model Settings'!$F$5+(N('Player Data'!AT84)&gt;='Model Settings'!$E$6)*'Model Settings'!$F$6+(N('Player Data'!BI84)&gt;='Model Settings'!$E$7)*'Model Settings'!$F$7+(N('Player Data'!AL84)&gt;='Model Settings'!$E$8)*'Model Settings'!$F$8+(N('Player Data'!AH84)&gt;='Model Settings'!$E$9)*'Model Settings'!$F$9+(N('Player Data'!B84)&lt;='Model Settings'!$E$10)*'Model Settings'!$F$10+(N('Player Data'!M84)&gt;='Model Settings'!$E$11)*'Model Settings'!$F$11+(N('Player Data'!J84)&lt;='Model Settings'!$E$12)*'Model Settings'!$F$12+(N('Player Data'!V84)&gt;='Model Settings'!$E$13)*'Model Settings'!$F$13+(N('Player Data'!W84)&gt;='Model Settings'!$E$14)*'Model Settings'!$F$14+(N('Player Data'!AE84)&gt;='Model Settings'!$E$15)*'Model Settings'!$F$15+(N('Player Data'!BF84)&gt;='Model Settings'!$E$16)*'Model Settings'!$F$16+(N('Player Data'!AX84)&gt;='Model Settings'!$E$17)*'Model Settings'!$F$17+(N('Player Data'!AP84)&gt;='Model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84" s="34" t="n">
        <f aca="false">IF('Player Data'!E84&lt;='Model Settings'!$E$69,ROUND(100*((N('Player Data'!H84)&gt;='Model Settings'!$E$19)*'Model Settings'!$F$19+(N('Player Data'!S84)&gt;='Model Settings'!$E$20)*'Model Settings'!$F$20+(N('Player Data'!AH84)&gt;='Model Settings'!$E$21)*'Model Settings'!$F$21+(N('Player Data'!AX84)&gt;='Model Settings'!$E$22)*'Model Settings'!$F$22+(N('Player Data'!Y84)&gt;='Model Settings'!$E$23)*'Model Settings'!$F$23+(N('Player Data'!AM84)&gt;='Model Settings'!$E$24)*'Model Settings'!$F$24)/('Model Settings'!$F$19+'Model Settings'!$F$20+'Model Settings'!$F$21+'Model Settings'!$F$22+'Model Settings'!$F$23+'Model Settings'!$F$24),0),"n/a")</f>
        <v>0</v>
      </c>
      <c r="D84" s="50" t="n">
        <f aca="false">ROUND(100*((N('Player Data'!U84)&gt;='Model Settings'!$E$25)*'Model Settings'!$F$25+(N('Player Data'!V84)&gt;='Model Settings'!$E$26)*'Model Settings'!$F$26+(N('Player Data'!W84)&gt;='Model Settings'!$E$27)*'Model Settings'!$F$27+(N('Player Data'!AT84)&gt;='Model Settings'!$E$28)*'Model Settings'!$F$28+(N('Player Data'!AE84)&gt;='Model Settings'!$E$29)*'Model Settings'!$F$29+(N('Player Data'!AO84)&gt;='Model Settings'!$E$30)*'Model Settings'!$F$30+(N('Player Data'!AG84)&gt;='Model Settings'!$E$31)*'Model Settings'!$F$31)/('Model Settings'!$F$25+'Model Settings'!$F$26+'Model Settings'!$F$27+'Model Settings'!$F$28+'Model Settings'!$F$29+'Model Settings'!$F$30+'Model Settings'!$F$31),0)</f>
        <v>0</v>
      </c>
      <c r="E84" s="50" t="n">
        <f aca="false">ROUND(100*((N('Player Data'!Z84)&gt;='Model Settings'!$E$32)*'Model Settings'!$F$32+(N('Player Data'!BN84)&gt;='Model Settings'!$E$33)*'Model Settings'!$F$33+(N('Player Data'!BO84)&gt;='Model Settings'!$E$34)*'Model Settings'!$F$34+(N('Player Data'!BP84)&gt;='Model Settings'!$E$35)*'Model Settings'!$F$35+('Player Data'!BR84='Model Settings'!$E$36)*'Model Settings'!$F$36+(N('Player Data'!AW84)&gt;='Model Settings'!$E$37)*'Model Settings'!$F$37+(N('Player Data'!AF84)&lt;='Model Settings'!$E$38)*'Model Settings'!$F$38)/('Model Settings'!$F$32+'Model Settings'!$F$33+'Model Settings'!$F$34+'Model Settings'!$F$35+'Model Settings'!$F$36+'Model Settings'!$F$37+'Model Settings'!$F$38),0)</f>
        <v>14</v>
      </c>
      <c r="F84" s="50" t="n">
        <f aca="false">ROUND(100*((N('Player Data'!K84)&gt;='Model Settings'!$E$39)*'Model Settings'!$F$39+(N('Player Data'!P84)&gt;='Model Settings'!$E$40)*'Model Settings'!$F$40+(N('Player Data'!M84)&gt;='Model Settings'!$E$41)*'Model Settings'!$F$41+(N('Player Data'!AU84)&gt;='Model Settings'!$E$42)*'Model Settings'!$F$42+(N('Player Data'!CL84)&gt;='Model Settings'!$E$43)*'Model Settings'!$F$43+(N('Player Data'!Q84)&gt;='Model Settings'!$E$44)*'Model Settings'!$F$44)/('Model Settings'!$F$39+'Model Settings'!$F$40+'Model Settings'!$F$41+'Model Settings'!$F$42+'Model Settings'!$F$43+'Model Settings'!$F$44),0)</f>
        <v>17</v>
      </c>
      <c r="G84" s="50" t="n">
        <f aca="false">ROUND(100*((N('Player Data'!BE84)&gt;='Model Settings'!$E$45)*'Model Settings'!$F$45+(N('Player Data'!BH84)&gt;='Model Settings'!$E$46)*'Model Settings'!$F$46+(N('Player Data'!U84)&gt;='Model Settings'!$E$47)*'Model Settings'!$F$47+(N('Player Data'!BN84)&gt;='Model Settings'!$E$48)*'Model Settings'!$F$48+(N('Player Data'!AX84)&gt;='Model Settings'!$E$49)*'Model Settings'!$F$49+(N('Player Data'!BL84)&gt;='Model Settings'!$E$50)*'Model Settings'!$F$50+(N('Player Data'!BI84)&gt;='Model Settings'!$E$51)*'Model Settings'!$F$51)/('Model Settings'!$F$45+'Model Settings'!$F$46+'Model Settings'!$F$47+'Model Settings'!$F$48+'Model Settings'!$F$49+'Model Settings'!$F$50+'Model Settings'!$F$51),0)</f>
        <v>0</v>
      </c>
      <c r="H84" s="34" t="str">
        <f aca="false">IF(AND(B84&lt;'Model Settings'!$E$66,E84&lt;'Model Settings'!$E$68),"Non-problem",IF(E84&gt;='Model Settings'!$E$68,"Financially vulnerable",IF(OR(N('Player Data'!BY84)&gt;=1,N('Player Data'!BX84)&gt;=2,N('Player Data'!BW84)&gt;=3),"Emotionally vulnerable","At-risk")))</f>
        <v>Non-problem</v>
      </c>
      <c r="I84" s="34" t="str">
        <f aca="false">IF(OR(N('Player Data'!BY84)&gt;=1,'Player Data'!BZ84="Yes"),"Alert","None")</f>
        <v>None</v>
      </c>
      <c r="J84" s="34" t="str">
        <f aca="false">IF(OR(B84&gt;='Model Settings'!$E$67,'Player Data'!BM84="Yes",I84="Alert"),"Suppress",IF(AND(B84&gt;='Model Settings'!$E$66,'Player Data'!G84="Yes"),"Review VIP","Allow"))</f>
        <v>Allow</v>
      </c>
      <c r="K84" s="50" t="n">
        <f aca="false">ROUND(100*((N('Player Data'!CH84)&gt;='Model Settings'!$E$52)*'Model Settings'!$F$52+(N('Player Data'!CI84)&gt;='Model Settings'!$E$53)*'Model Settings'!$F$53+(N('Player Data'!R84)&gt;='Model Settings'!$E$54)*'Model Settings'!$F$54+(N('Player Data'!Y84)&gt;='Model Settings'!$E$55)*'Model Settings'!$F$55+(N('Player Data'!AS84)&gt;='Model Settings'!$E$56)*'Model Settings'!$F$56)/('Model Settings'!$F$52+'Model Settings'!$F$53+'Model Settings'!$F$54+'Model Settings'!$F$55+'Model Settings'!$F$56),0)</f>
        <v>0</v>
      </c>
      <c r="L84" s="34" t="str">
        <f aca="false">IF('Player Data'!D84="Spain",ROUND(100*((N('Player Data'!H84)&gt;='Model Settings'!$E$57)*'Model Settings'!$F$57+(N('Player Data'!AI84)&gt;='Model Settings'!$E$58)*'Model Settings'!$F$58+(N('Player Data'!AL84)&gt;='Model Settings'!$E$59)*'Model Settings'!$F$59+(N('Player Data'!M84)&gt;='Model Settings'!$E$60)*'Model Settings'!$F$60+(N('Player Data'!X84)&lt;='Model Settings'!$E$61)*'Model Settings'!$F$61+(N('Player Data'!Y84)&gt;='Model Settings'!$E$62)*'Model Settings'!$F$62+(N('Player Data'!P84)&gt;='Model Settings'!$E$63)*'Model Settings'!$F$63)/('Model Settings'!$F$57+'Model Settings'!$F$58+'Model Settings'!$F$59+'Model Settings'!$F$60+'Model Settings'!$F$61+'Model Settings'!$F$62+'Model Settings'!$F$63),0),"n/a")</f>
        <v>n/a</v>
      </c>
      <c r="M84" s="34" t="str">
        <f aca="false">IF('Player Data'!CA84="None","No contact yet",IF('Player Data'!CA84="Improved","Working",IF('Player Data'!CA84="No change","Review approach","Escalate")))</f>
        <v>No contact yet</v>
      </c>
      <c r="N84" s="49" t="str">
        <f aca="false">IF(OR('Player Data'!BM84="Yes",I84="Alert"),"High",IF(B84&gt;='Model Settings'!$E$67,"High",IF(OR(B84&gt;='Model Settings'!$E$66,D84&gt;='Model Settings'!$E$68,F84&gt;='Model Settings'!$E$68,K84&gt;='Model Settings'!$E$68),"Medium","Low")))</f>
        <v>Low</v>
      </c>
      <c r="O84" s="34" t="str">
        <f aca="false">IF(N84="High","Contact player + review within 48h; stop marketing",IF(N84="Medium","Safer gambling message; monitor weekly","No action; routine monitoring"))</f>
        <v>No action; routine monitoring</v>
      </c>
      <c r="P84" s="34" t="n">
        <f aca="false">IF(OR(N84="High",AND('Model Settings'!$E$70="High+Medium",N84="Medium")),1,0)</f>
        <v>0</v>
      </c>
      <c r="Q84" s="34" t="n">
        <f aca="false">'Player Data'!CM84</f>
        <v>0</v>
      </c>
    </row>
    <row r="85" customFormat="false" ht="15" hidden="false" customHeight="false" outlineLevel="0" collapsed="false">
      <c r="A85" s="49" t="str">
        <f aca="false">'Player Data'!A85</f>
        <v>P080</v>
      </c>
      <c r="B85" s="50" t="n">
        <f aca="false">ROUND(100*((N('Player Data'!U85)&gt;='Model Settings'!$E$5)*'Model Settings'!$F$5+(N('Player Data'!AT85)&gt;='Model Settings'!$E$6)*'Model Settings'!$F$6+(N('Player Data'!BI85)&gt;='Model Settings'!$E$7)*'Model Settings'!$F$7+(N('Player Data'!AL85)&gt;='Model Settings'!$E$8)*'Model Settings'!$F$8+(N('Player Data'!AH85)&gt;='Model Settings'!$E$9)*'Model Settings'!$F$9+(N('Player Data'!B85)&lt;='Model Settings'!$E$10)*'Model Settings'!$F$10+(N('Player Data'!M85)&gt;='Model Settings'!$E$11)*'Model Settings'!$F$11+(N('Player Data'!J85)&lt;='Model Settings'!$E$12)*'Model Settings'!$F$12+(N('Player Data'!V85)&gt;='Model Settings'!$E$13)*'Model Settings'!$F$13+(N('Player Data'!W85)&gt;='Model Settings'!$E$14)*'Model Settings'!$F$14+(N('Player Data'!AE85)&gt;='Model Settings'!$E$15)*'Model Settings'!$F$15+(N('Player Data'!BF85)&gt;='Model Settings'!$E$16)*'Model Settings'!$F$16+(N('Player Data'!AX85)&gt;='Model Settings'!$E$17)*'Model Settings'!$F$17+(N('Player Data'!AP85)&gt;='Model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59</v>
      </c>
      <c r="C85" s="34" t="str">
        <f aca="false">IF('Player Data'!E85&lt;='Model Settings'!$E$69,ROUND(100*((N('Player Data'!H85)&gt;='Model Settings'!$E$19)*'Model Settings'!$F$19+(N('Player Data'!S85)&gt;='Model Settings'!$E$20)*'Model Settings'!$F$20+(N('Player Data'!AH85)&gt;='Model Settings'!$E$21)*'Model Settings'!$F$21+(N('Player Data'!AX85)&gt;='Model Settings'!$E$22)*'Model Settings'!$F$22+(N('Player Data'!Y85)&gt;='Model Settings'!$E$23)*'Model Settings'!$F$23+(N('Player Data'!AM85)&gt;='Model Settings'!$E$24)*'Model Settings'!$F$24)/('Model Settings'!$F$19+'Model Settings'!$F$20+'Model Settings'!$F$21+'Model Settings'!$F$22+'Model Settings'!$F$23+'Model Settings'!$F$24),0),"n/a")</f>
        <v>n/a</v>
      </c>
      <c r="D85" s="50" t="n">
        <f aca="false">ROUND(100*((N('Player Data'!U85)&gt;='Model Settings'!$E$25)*'Model Settings'!$F$25+(N('Player Data'!V85)&gt;='Model Settings'!$E$26)*'Model Settings'!$F$26+(N('Player Data'!W85)&gt;='Model Settings'!$E$27)*'Model Settings'!$F$27+(N('Player Data'!AT85)&gt;='Model Settings'!$E$28)*'Model Settings'!$F$28+(N('Player Data'!AE85)&gt;='Model Settings'!$E$29)*'Model Settings'!$F$29+(N('Player Data'!AO85)&gt;='Model Settings'!$E$30)*'Model Settings'!$F$30+(N('Player Data'!AG85)&gt;='Model Settings'!$E$31)*'Model Settings'!$F$31)/('Model Settings'!$F$25+'Model Settings'!$F$26+'Model Settings'!$F$27+'Model Settings'!$F$28+'Model Settings'!$F$29+'Model Settings'!$F$30+'Model Settings'!$F$31),0)</f>
        <v>71</v>
      </c>
      <c r="E85" s="50" t="n">
        <f aca="false">ROUND(100*((N('Player Data'!Z85)&gt;='Model Settings'!$E$32)*'Model Settings'!$F$32+(N('Player Data'!BN85)&gt;='Model Settings'!$E$33)*'Model Settings'!$F$33+(N('Player Data'!BO85)&gt;='Model Settings'!$E$34)*'Model Settings'!$F$34+(N('Player Data'!BP85)&gt;='Model Settings'!$E$35)*'Model Settings'!$F$35+('Player Data'!BR85='Model Settings'!$E$36)*'Model Settings'!$F$36+(N('Player Data'!AW85)&gt;='Model Settings'!$E$37)*'Model Settings'!$F$37+(N('Player Data'!AF85)&lt;='Model Settings'!$E$38)*'Model Settings'!$F$38)/('Model Settings'!$F$32+'Model Settings'!$F$33+'Model Settings'!$F$34+'Model Settings'!$F$35+'Model Settings'!$F$36+'Model Settings'!$F$37+'Model Settings'!$F$38),0)</f>
        <v>29</v>
      </c>
      <c r="F85" s="50" t="n">
        <f aca="false">ROUND(100*((N('Player Data'!K85)&gt;='Model Settings'!$E$39)*'Model Settings'!$F$39+(N('Player Data'!P85)&gt;='Model Settings'!$E$40)*'Model Settings'!$F$40+(N('Player Data'!M85)&gt;='Model Settings'!$E$41)*'Model Settings'!$F$41+(N('Player Data'!AU85)&gt;='Model Settings'!$E$42)*'Model Settings'!$F$42+(N('Player Data'!CL85)&gt;='Model Settings'!$E$43)*'Model Settings'!$F$43+(N('Player Data'!Q85)&gt;='Model Settings'!$E$44)*'Model Settings'!$F$44)/('Model Settings'!$F$39+'Model Settings'!$F$40+'Model Settings'!$F$41+'Model Settings'!$F$42+'Model Settings'!$F$43+'Model Settings'!$F$44),0)</f>
        <v>50</v>
      </c>
      <c r="G85" s="50" t="n">
        <f aca="false">ROUND(100*((N('Player Data'!BE85)&gt;='Model Settings'!$E$45)*'Model Settings'!$F$45+(N('Player Data'!BH85)&gt;='Model Settings'!$E$46)*'Model Settings'!$F$46+(N('Player Data'!U85)&gt;='Model Settings'!$E$47)*'Model Settings'!$F$47+(N('Player Data'!BN85)&gt;='Model Settings'!$E$48)*'Model Settings'!$F$48+(N('Player Data'!AX85)&gt;='Model Settings'!$E$49)*'Model Settings'!$F$49+(N('Player Data'!BL85)&gt;='Model Settings'!$E$50)*'Model Settings'!$F$50+(N('Player Data'!BI85)&gt;='Model Settings'!$E$51)*'Model Settings'!$F$51)/('Model Settings'!$F$45+'Model Settings'!$F$46+'Model Settings'!$F$47+'Model Settings'!$F$48+'Model Settings'!$F$49+'Model Settings'!$F$50+'Model Settings'!$F$51),0)</f>
        <v>57</v>
      </c>
      <c r="H85" s="34" t="str">
        <f aca="false">IF(AND(B85&lt;'Model Settings'!$E$66,E85&lt;'Model Settings'!$E$68),"Non-problem",IF(E85&gt;='Model Settings'!$E$68,"Financially vulnerable",IF(OR(N('Player Data'!BY85)&gt;=1,N('Player Data'!BX85)&gt;=2,N('Player Data'!BW85)&gt;=3),"Emotionally vulnerable","At-risk")))</f>
        <v>Emotionally vulnerable</v>
      </c>
      <c r="I85" s="34" t="str">
        <f aca="false">IF(OR(N('Player Data'!BY85)&gt;=1,'Player Data'!BZ85="Yes"),"Alert","None")</f>
        <v>None</v>
      </c>
      <c r="J85" s="34" t="str">
        <f aca="false">IF(OR(B85&gt;='Model Settings'!$E$67,'Player Data'!BM85="Yes",I85="Alert"),"Suppress",IF(AND(B85&gt;='Model Settings'!$E$66,'Player Data'!G85="Yes"),"Review VIP","Allow"))</f>
        <v>Suppress</v>
      </c>
      <c r="K85" s="50" t="n">
        <f aca="false">ROUND(100*((N('Player Data'!CH85)&gt;='Model Settings'!$E$52)*'Model Settings'!$F$52+(N('Player Data'!CI85)&gt;='Model Settings'!$E$53)*'Model Settings'!$F$53+(N('Player Data'!R85)&gt;='Model Settings'!$E$54)*'Model Settings'!$F$54+(N('Player Data'!Y85)&gt;='Model Settings'!$E$55)*'Model Settings'!$F$55+(N('Player Data'!AS85)&gt;='Model Settings'!$E$56)*'Model Settings'!$F$56)/('Model Settings'!$F$52+'Model Settings'!$F$53+'Model Settings'!$F$54+'Model Settings'!$F$55+'Model Settings'!$F$56),0)</f>
        <v>80</v>
      </c>
      <c r="L85" s="34" t="str">
        <f aca="false">IF('Player Data'!D85="Spain",ROUND(100*((N('Player Data'!H85)&gt;='Model Settings'!$E$57)*'Model Settings'!$F$57+(N('Player Data'!AI85)&gt;='Model Settings'!$E$58)*'Model Settings'!$F$58+(N('Player Data'!AL85)&gt;='Model Settings'!$E$59)*'Model Settings'!$F$59+(N('Player Data'!M85)&gt;='Model Settings'!$E$60)*'Model Settings'!$F$60+(N('Player Data'!X85)&lt;='Model Settings'!$E$61)*'Model Settings'!$F$61+(N('Player Data'!Y85)&gt;='Model Settings'!$E$62)*'Model Settings'!$F$62+(N('Player Data'!P85)&gt;='Model Settings'!$E$63)*'Model Settings'!$F$63)/('Model Settings'!$F$57+'Model Settings'!$F$58+'Model Settings'!$F$59+'Model Settings'!$F$60+'Model Settings'!$F$61+'Model Settings'!$F$62+'Model Settings'!$F$63),0),"n/a")</f>
        <v>n/a</v>
      </c>
      <c r="M85" s="34" t="str">
        <f aca="false">IF('Player Data'!CA85="None","No contact yet",IF('Player Data'!CA85="Improved","Working",IF('Player Data'!CA85="No change","Review approach","Escalate")))</f>
        <v>Review approach</v>
      </c>
      <c r="N85" s="49" t="str">
        <f aca="false">IF(OR('Player Data'!BM85="Yes",I85="Alert"),"High",IF(B85&gt;='Model Settings'!$E$67,"High",IF(OR(B85&gt;='Model Settings'!$E$66,D85&gt;='Model Settings'!$E$68,F85&gt;='Model Settings'!$E$68,K85&gt;='Model Settings'!$E$68),"Medium","Low")))</f>
        <v>High</v>
      </c>
      <c r="O85" s="34" t="str">
        <f aca="false">IF(N85="High","Contact player + review within 48h; stop marketing",IF(N85="Medium","Safer gambling message; monitor weekly","No action; routine monitoring"))</f>
        <v>Contact player + review within 48h; stop marketing</v>
      </c>
      <c r="P85" s="34" t="n">
        <f aca="false">IF(OR(N85="High",AND('Model Settings'!$E$70="High+Medium",N85="Medium")),1,0)</f>
        <v>1</v>
      </c>
      <c r="Q85" s="34" t="n">
        <f aca="false">'Player Data'!CM85</f>
        <v>0</v>
      </c>
    </row>
    <row r="86" customFormat="false" ht="15" hidden="false" customHeight="false" outlineLevel="0" collapsed="false">
      <c r="A86" s="49" t="str">
        <f aca="false">'Player Data'!A86</f>
        <v>P081</v>
      </c>
      <c r="B86" s="50" t="n">
        <f aca="false">ROUND(100*((N('Player Data'!U86)&gt;='Model Settings'!$E$5)*'Model Settings'!$F$5+(N('Player Data'!AT86)&gt;='Model Settings'!$E$6)*'Model Settings'!$F$6+(N('Player Data'!BI86)&gt;='Model Settings'!$E$7)*'Model Settings'!$F$7+(N('Player Data'!AL86)&gt;='Model Settings'!$E$8)*'Model Settings'!$F$8+(N('Player Data'!AH86)&gt;='Model Settings'!$E$9)*'Model Settings'!$F$9+(N('Player Data'!B86)&lt;='Model Settings'!$E$10)*'Model Settings'!$F$10+(N('Player Data'!M86)&gt;='Model Settings'!$E$11)*'Model Settings'!$F$11+(N('Player Data'!J86)&lt;='Model Settings'!$E$12)*'Model Settings'!$F$12+(N('Player Data'!V86)&gt;='Model Settings'!$E$13)*'Model Settings'!$F$13+(N('Player Data'!W86)&gt;='Model Settings'!$E$14)*'Model Settings'!$F$14+(N('Player Data'!AE86)&gt;='Model Settings'!$E$15)*'Model Settings'!$F$15+(N('Player Data'!BF86)&gt;='Model Settings'!$E$16)*'Model Settings'!$F$16+(N('Player Data'!AX86)&gt;='Model Settings'!$E$17)*'Model Settings'!$F$17+(N('Player Data'!AP86)&gt;='Model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86" s="34" t="str">
        <f aca="false">IF('Player Data'!E86&lt;='Model Settings'!$E$69,ROUND(100*((N('Player Data'!H86)&gt;='Model Settings'!$E$19)*'Model Settings'!$F$19+(N('Player Data'!S86)&gt;='Model Settings'!$E$20)*'Model Settings'!$F$20+(N('Player Data'!AH86)&gt;='Model Settings'!$E$21)*'Model Settings'!$F$21+(N('Player Data'!AX86)&gt;='Model Settings'!$E$22)*'Model Settings'!$F$22+(N('Player Data'!Y86)&gt;='Model Settings'!$E$23)*'Model Settings'!$F$23+(N('Player Data'!AM86)&gt;='Model Settings'!$E$24)*'Model Settings'!$F$24)/('Model Settings'!$F$19+'Model Settings'!$F$20+'Model Settings'!$F$21+'Model Settings'!$F$22+'Model Settings'!$F$23+'Model Settings'!$F$24),0),"n/a")</f>
        <v>n/a</v>
      </c>
      <c r="D86" s="50" t="n">
        <f aca="false">ROUND(100*((N('Player Data'!U86)&gt;='Model Settings'!$E$25)*'Model Settings'!$F$25+(N('Player Data'!V86)&gt;='Model Settings'!$E$26)*'Model Settings'!$F$26+(N('Player Data'!W86)&gt;='Model Settings'!$E$27)*'Model Settings'!$F$27+(N('Player Data'!AT86)&gt;='Model Settings'!$E$28)*'Model Settings'!$F$28+(N('Player Data'!AE86)&gt;='Model Settings'!$E$29)*'Model Settings'!$F$29+(N('Player Data'!AO86)&gt;='Model Settings'!$E$30)*'Model Settings'!$F$30+(N('Player Data'!AG86)&gt;='Model Settings'!$E$31)*'Model Settings'!$F$31)/('Model Settings'!$F$25+'Model Settings'!$F$26+'Model Settings'!$F$27+'Model Settings'!$F$28+'Model Settings'!$F$29+'Model Settings'!$F$30+'Model Settings'!$F$31),0)</f>
        <v>0</v>
      </c>
      <c r="E86" s="50" t="n">
        <f aca="false">ROUND(100*((N('Player Data'!Z86)&gt;='Model Settings'!$E$32)*'Model Settings'!$F$32+(N('Player Data'!BN86)&gt;='Model Settings'!$E$33)*'Model Settings'!$F$33+(N('Player Data'!BO86)&gt;='Model Settings'!$E$34)*'Model Settings'!$F$34+(N('Player Data'!BP86)&gt;='Model Settings'!$E$35)*'Model Settings'!$F$35+('Player Data'!BR86='Model Settings'!$E$36)*'Model Settings'!$F$36+(N('Player Data'!AW86)&gt;='Model Settings'!$E$37)*'Model Settings'!$F$37+(N('Player Data'!AF86)&lt;='Model Settings'!$E$38)*'Model Settings'!$F$38)/('Model Settings'!$F$32+'Model Settings'!$F$33+'Model Settings'!$F$34+'Model Settings'!$F$35+'Model Settings'!$F$36+'Model Settings'!$F$37+'Model Settings'!$F$38),0)</f>
        <v>0</v>
      </c>
      <c r="F86" s="50" t="n">
        <f aca="false">ROUND(100*((N('Player Data'!K86)&gt;='Model Settings'!$E$39)*'Model Settings'!$F$39+(N('Player Data'!P86)&gt;='Model Settings'!$E$40)*'Model Settings'!$F$40+(N('Player Data'!M86)&gt;='Model Settings'!$E$41)*'Model Settings'!$F$41+(N('Player Data'!AU86)&gt;='Model Settings'!$E$42)*'Model Settings'!$F$42+(N('Player Data'!CL86)&gt;='Model Settings'!$E$43)*'Model Settings'!$F$43+(N('Player Data'!Q86)&gt;='Model Settings'!$E$44)*'Model Settings'!$F$44)/('Model Settings'!$F$39+'Model Settings'!$F$40+'Model Settings'!$F$41+'Model Settings'!$F$42+'Model Settings'!$F$43+'Model Settings'!$F$44),0)</f>
        <v>0</v>
      </c>
      <c r="G86" s="50" t="n">
        <f aca="false">ROUND(100*((N('Player Data'!BE86)&gt;='Model Settings'!$E$45)*'Model Settings'!$F$45+(N('Player Data'!BH86)&gt;='Model Settings'!$E$46)*'Model Settings'!$F$46+(N('Player Data'!U86)&gt;='Model Settings'!$E$47)*'Model Settings'!$F$47+(N('Player Data'!BN86)&gt;='Model Settings'!$E$48)*'Model Settings'!$F$48+(N('Player Data'!AX86)&gt;='Model Settings'!$E$49)*'Model Settings'!$F$49+(N('Player Data'!BL86)&gt;='Model Settings'!$E$50)*'Model Settings'!$F$50+(N('Player Data'!BI86)&gt;='Model Settings'!$E$51)*'Model Settings'!$F$51)/('Model Settings'!$F$45+'Model Settings'!$F$46+'Model Settings'!$F$47+'Model Settings'!$F$48+'Model Settings'!$F$49+'Model Settings'!$F$50+'Model Settings'!$F$51),0)</f>
        <v>14</v>
      </c>
      <c r="H86" s="34" t="str">
        <f aca="false">IF(AND(B86&lt;'Model Settings'!$E$66,E86&lt;'Model Settings'!$E$68),"Non-problem",IF(E86&gt;='Model Settings'!$E$68,"Financially vulnerable",IF(OR(N('Player Data'!BY86)&gt;=1,N('Player Data'!BX86)&gt;=2,N('Player Data'!BW86)&gt;=3),"Emotionally vulnerable","At-risk")))</f>
        <v>Non-problem</v>
      </c>
      <c r="I86" s="34" t="str">
        <f aca="false">IF(OR(N('Player Data'!BY86)&gt;=1,'Player Data'!BZ86="Yes"),"Alert","None")</f>
        <v>None</v>
      </c>
      <c r="J86" s="34" t="str">
        <f aca="false">IF(OR(B86&gt;='Model Settings'!$E$67,'Player Data'!BM86="Yes",I86="Alert"),"Suppress",IF(AND(B86&gt;='Model Settings'!$E$66,'Player Data'!G86="Yes"),"Review VIP","Allow"))</f>
        <v>Allow</v>
      </c>
      <c r="K86" s="50" t="n">
        <f aca="false">ROUND(100*((N('Player Data'!CH86)&gt;='Model Settings'!$E$52)*'Model Settings'!$F$52+(N('Player Data'!CI86)&gt;='Model Settings'!$E$53)*'Model Settings'!$F$53+(N('Player Data'!R86)&gt;='Model Settings'!$E$54)*'Model Settings'!$F$54+(N('Player Data'!Y86)&gt;='Model Settings'!$E$55)*'Model Settings'!$F$55+(N('Player Data'!AS86)&gt;='Model Settings'!$E$56)*'Model Settings'!$F$56)/('Model Settings'!$F$52+'Model Settings'!$F$53+'Model Settings'!$F$54+'Model Settings'!$F$55+'Model Settings'!$F$56),0)</f>
        <v>0</v>
      </c>
      <c r="L86" s="34" t="str">
        <f aca="false">IF('Player Data'!D86="Spain",ROUND(100*((N('Player Data'!H86)&gt;='Model Settings'!$E$57)*'Model Settings'!$F$57+(N('Player Data'!AI86)&gt;='Model Settings'!$E$58)*'Model Settings'!$F$58+(N('Player Data'!AL86)&gt;='Model Settings'!$E$59)*'Model Settings'!$F$59+(N('Player Data'!M86)&gt;='Model Settings'!$E$60)*'Model Settings'!$F$60+(N('Player Data'!X86)&lt;='Model Settings'!$E$61)*'Model Settings'!$F$61+(N('Player Data'!Y86)&gt;='Model Settings'!$E$62)*'Model Settings'!$F$62+(N('Player Data'!P86)&gt;='Model Settings'!$E$63)*'Model Settings'!$F$63)/('Model Settings'!$F$57+'Model Settings'!$F$58+'Model Settings'!$F$59+'Model Settings'!$F$60+'Model Settings'!$F$61+'Model Settings'!$F$62+'Model Settings'!$F$63),0),"n/a")</f>
        <v>n/a</v>
      </c>
      <c r="M86" s="34" t="str">
        <f aca="false">IF('Player Data'!CA86="None","No contact yet",IF('Player Data'!CA86="Improved","Working",IF('Player Data'!CA86="No change","Review approach","Escalate")))</f>
        <v>No contact yet</v>
      </c>
      <c r="N86" s="49" t="str">
        <f aca="false">IF(OR('Player Data'!BM86="Yes",I86="Alert"),"High",IF(B86&gt;='Model Settings'!$E$67,"High",IF(OR(B86&gt;='Model Settings'!$E$66,D86&gt;='Model Settings'!$E$68,F86&gt;='Model Settings'!$E$68,K86&gt;='Model Settings'!$E$68),"Medium","Low")))</f>
        <v>Low</v>
      </c>
      <c r="O86" s="34" t="str">
        <f aca="false">IF(N86="High","Contact player + review within 48h; stop marketing",IF(N86="Medium","Safer gambling message; monitor weekly","No action; routine monitoring"))</f>
        <v>No action; routine monitoring</v>
      </c>
      <c r="P86" s="34" t="n">
        <f aca="false">IF(OR(N86="High",AND('Model Settings'!$E$70="High+Medium",N86="Medium")),1,0)</f>
        <v>0</v>
      </c>
      <c r="Q86" s="34" t="n">
        <f aca="false">'Player Data'!CM86</f>
        <v>0</v>
      </c>
    </row>
    <row r="87" customFormat="false" ht="15" hidden="false" customHeight="false" outlineLevel="0" collapsed="false">
      <c r="A87" s="49" t="str">
        <f aca="false">'Player Data'!A87</f>
        <v>P082</v>
      </c>
      <c r="B87" s="50" t="n">
        <f aca="false">ROUND(100*((N('Player Data'!U87)&gt;='Model Settings'!$E$5)*'Model Settings'!$F$5+(N('Player Data'!AT87)&gt;='Model Settings'!$E$6)*'Model Settings'!$F$6+(N('Player Data'!BI87)&gt;='Model Settings'!$E$7)*'Model Settings'!$F$7+(N('Player Data'!AL87)&gt;='Model Settings'!$E$8)*'Model Settings'!$F$8+(N('Player Data'!AH87)&gt;='Model Settings'!$E$9)*'Model Settings'!$F$9+(N('Player Data'!B87)&lt;='Model Settings'!$E$10)*'Model Settings'!$F$10+(N('Player Data'!M87)&gt;='Model Settings'!$E$11)*'Model Settings'!$F$11+(N('Player Data'!J87)&lt;='Model Settings'!$E$12)*'Model Settings'!$F$12+(N('Player Data'!V87)&gt;='Model Settings'!$E$13)*'Model Settings'!$F$13+(N('Player Data'!W87)&gt;='Model Settings'!$E$14)*'Model Settings'!$F$14+(N('Player Data'!AE87)&gt;='Model Settings'!$E$15)*'Model Settings'!$F$15+(N('Player Data'!BF87)&gt;='Model Settings'!$E$16)*'Model Settings'!$F$16+(N('Player Data'!AX87)&gt;='Model Settings'!$E$17)*'Model Settings'!$F$17+(N('Player Data'!AP87)&gt;='Model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87" s="34" t="str">
        <f aca="false">IF('Player Data'!E87&lt;='Model Settings'!$E$69,ROUND(100*((N('Player Data'!H87)&gt;='Model Settings'!$E$19)*'Model Settings'!$F$19+(N('Player Data'!S87)&gt;='Model Settings'!$E$20)*'Model Settings'!$F$20+(N('Player Data'!AH87)&gt;='Model Settings'!$E$21)*'Model Settings'!$F$21+(N('Player Data'!AX87)&gt;='Model Settings'!$E$22)*'Model Settings'!$F$22+(N('Player Data'!Y87)&gt;='Model Settings'!$E$23)*'Model Settings'!$F$23+(N('Player Data'!AM87)&gt;='Model Settings'!$E$24)*'Model Settings'!$F$24)/('Model Settings'!$F$19+'Model Settings'!$F$20+'Model Settings'!$F$21+'Model Settings'!$F$22+'Model Settings'!$F$23+'Model Settings'!$F$24),0),"n/a")</f>
        <v>n/a</v>
      </c>
      <c r="D87" s="50" t="n">
        <f aca="false">ROUND(100*((N('Player Data'!U87)&gt;='Model Settings'!$E$25)*'Model Settings'!$F$25+(N('Player Data'!V87)&gt;='Model Settings'!$E$26)*'Model Settings'!$F$26+(N('Player Data'!W87)&gt;='Model Settings'!$E$27)*'Model Settings'!$F$27+(N('Player Data'!AT87)&gt;='Model Settings'!$E$28)*'Model Settings'!$F$28+(N('Player Data'!AE87)&gt;='Model Settings'!$E$29)*'Model Settings'!$F$29+(N('Player Data'!AO87)&gt;='Model Settings'!$E$30)*'Model Settings'!$F$30+(N('Player Data'!AG87)&gt;='Model Settings'!$E$31)*'Model Settings'!$F$31)/('Model Settings'!$F$25+'Model Settings'!$F$26+'Model Settings'!$F$27+'Model Settings'!$F$28+'Model Settings'!$F$29+'Model Settings'!$F$30+'Model Settings'!$F$31),0)</f>
        <v>0</v>
      </c>
      <c r="E87" s="50" t="n">
        <f aca="false">ROUND(100*((N('Player Data'!Z87)&gt;='Model Settings'!$E$32)*'Model Settings'!$F$32+(N('Player Data'!BN87)&gt;='Model Settings'!$E$33)*'Model Settings'!$F$33+(N('Player Data'!BO87)&gt;='Model Settings'!$E$34)*'Model Settings'!$F$34+(N('Player Data'!BP87)&gt;='Model Settings'!$E$35)*'Model Settings'!$F$35+('Player Data'!BR87='Model Settings'!$E$36)*'Model Settings'!$F$36+(N('Player Data'!AW87)&gt;='Model Settings'!$E$37)*'Model Settings'!$F$37+(N('Player Data'!AF87)&lt;='Model Settings'!$E$38)*'Model Settings'!$F$38)/('Model Settings'!$F$32+'Model Settings'!$F$33+'Model Settings'!$F$34+'Model Settings'!$F$35+'Model Settings'!$F$36+'Model Settings'!$F$37+'Model Settings'!$F$38),0)</f>
        <v>0</v>
      </c>
      <c r="F87" s="50" t="n">
        <f aca="false">ROUND(100*((N('Player Data'!K87)&gt;='Model Settings'!$E$39)*'Model Settings'!$F$39+(N('Player Data'!P87)&gt;='Model Settings'!$E$40)*'Model Settings'!$F$40+(N('Player Data'!M87)&gt;='Model Settings'!$E$41)*'Model Settings'!$F$41+(N('Player Data'!AU87)&gt;='Model Settings'!$E$42)*'Model Settings'!$F$42+(N('Player Data'!CL87)&gt;='Model Settings'!$E$43)*'Model Settings'!$F$43+(N('Player Data'!Q87)&gt;='Model Settings'!$E$44)*'Model Settings'!$F$44)/('Model Settings'!$F$39+'Model Settings'!$F$40+'Model Settings'!$F$41+'Model Settings'!$F$42+'Model Settings'!$F$43+'Model Settings'!$F$44),0)</f>
        <v>0</v>
      </c>
      <c r="G87" s="50" t="n">
        <f aca="false">ROUND(100*((N('Player Data'!BE87)&gt;='Model Settings'!$E$45)*'Model Settings'!$F$45+(N('Player Data'!BH87)&gt;='Model Settings'!$E$46)*'Model Settings'!$F$46+(N('Player Data'!U87)&gt;='Model Settings'!$E$47)*'Model Settings'!$F$47+(N('Player Data'!BN87)&gt;='Model Settings'!$E$48)*'Model Settings'!$F$48+(N('Player Data'!AX87)&gt;='Model Settings'!$E$49)*'Model Settings'!$F$49+(N('Player Data'!BL87)&gt;='Model Settings'!$E$50)*'Model Settings'!$F$50+(N('Player Data'!BI87)&gt;='Model Settings'!$E$51)*'Model Settings'!$F$51)/('Model Settings'!$F$45+'Model Settings'!$F$46+'Model Settings'!$F$47+'Model Settings'!$F$48+'Model Settings'!$F$49+'Model Settings'!$F$50+'Model Settings'!$F$51),0)</f>
        <v>0</v>
      </c>
      <c r="H87" s="34" t="str">
        <f aca="false">IF(AND(B87&lt;'Model Settings'!$E$66,E87&lt;'Model Settings'!$E$68),"Non-problem",IF(E87&gt;='Model Settings'!$E$68,"Financially vulnerable",IF(OR(N('Player Data'!BY87)&gt;=1,N('Player Data'!BX87)&gt;=2,N('Player Data'!BW87)&gt;=3),"Emotionally vulnerable","At-risk")))</f>
        <v>Non-problem</v>
      </c>
      <c r="I87" s="34" t="str">
        <f aca="false">IF(OR(N('Player Data'!BY87)&gt;=1,'Player Data'!BZ87="Yes"),"Alert","None")</f>
        <v>None</v>
      </c>
      <c r="J87" s="34" t="str">
        <f aca="false">IF(OR(B87&gt;='Model Settings'!$E$67,'Player Data'!BM87="Yes",I87="Alert"),"Suppress",IF(AND(B87&gt;='Model Settings'!$E$66,'Player Data'!G87="Yes"),"Review VIP","Allow"))</f>
        <v>Allow</v>
      </c>
      <c r="K87" s="50" t="n">
        <f aca="false">ROUND(100*((N('Player Data'!CH87)&gt;='Model Settings'!$E$52)*'Model Settings'!$F$52+(N('Player Data'!CI87)&gt;='Model Settings'!$E$53)*'Model Settings'!$F$53+(N('Player Data'!R87)&gt;='Model Settings'!$E$54)*'Model Settings'!$F$54+(N('Player Data'!Y87)&gt;='Model Settings'!$E$55)*'Model Settings'!$F$55+(N('Player Data'!AS87)&gt;='Model Settings'!$E$56)*'Model Settings'!$F$56)/('Model Settings'!$F$52+'Model Settings'!$F$53+'Model Settings'!$F$54+'Model Settings'!$F$55+'Model Settings'!$F$56),0)</f>
        <v>0</v>
      </c>
      <c r="L87" s="34" t="str">
        <f aca="false">IF('Player Data'!D87="Spain",ROUND(100*((N('Player Data'!H87)&gt;='Model Settings'!$E$57)*'Model Settings'!$F$57+(N('Player Data'!AI87)&gt;='Model Settings'!$E$58)*'Model Settings'!$F$58+(N('Player Data'!AL87)&gt;='Model Settings'!$E$59)*'Model Settings'!$F$59+(N('Player Data'!M87)&gt;='Model Settings'!$E$60)*'Model Settings'!$F$60+(N('Player Data'!X87)&lt;='Model Settings'!$E$61)*'Model Settings'!$F$61+(N('Player Data'!Y87)&gt;='Model Settings'!$E$62)*'Model Settings'!$F$62+(N('Player Data'!P87)&gt;='Model Settings'!$E$63)*'Model Settings'!$F$63)/('Model Settings'!$F$57+'Model Settings'!$F$58+'Model Settings'!$F$59+'Model Settings'!$F$60+'Model Settings'!$F$61+'Model Settings'!$F$62+'Model Settings'!$F$63),0),"n/a")</f>
        <v>n/a</v>
      </c>
      <c r="M87" s="34" t="str">
        <f aca="false">IF('Player Data'!CA87="None","No contact yet",IF('Player Data'!CA87="Improved","Working",IF('Player Data'!CA87="No change","Review approach","Escalate")))</f>
        <v>No contact yet</v>
      </c>
      <c r="N87" s="49" t="str">
        <f aca="false">IF(OR('Player Data'!BM87="Yes",I87="Alert"),"High",IF(B87&gt;='Model Settings'!$E$67,"High",IF(OR(B87&gt;='Model Settings'!$E$66,D87&gt;='Model Settings'!$E$68,F87&gt;='Model Settings'!$E$68,K87&gt;='Model Settings'!$E$68),"Medium","Low")))</f>
        <v>Low</v>
      </c>
      <c r="O87" s="34" t="str">
        <f aca="false">IF(N87="High","Contact player + review within 48h; stop marketing",IF(N87="Medium","Safer gambling message; monitor weekly","No action; routine monitoring"))</f>
        <v>No action; routine monitoring</v>
      </c>
      <c r="P87" s="34" t="n">
        <f aca="false">IF(OR(N87="High",AND('Model Settings'!$E$70="High+Medium",N87="Medium")),1,0)</f>
        <v>0</v>
      </c>
      <c r="Q87" s="34" t="n">
        <f aca="false">'Player Data'!CM87</f>
        <v>0</v>
      </c>
    </row>
    <row r="88" customFormat="false" ht="15" hidden="false" customHeight="false" outlineLevel="0" collapsed="false">
      <c r="A88" s="49" t="str">
        <f aca="false">'Player Data'!A88</f>
        <v>P083</v>
      </c>
      <c r="B88" s="50" t="n">
        <f aca="false">ROUND(100*((N('Player Data'!U88)&gt;='Model Settings'!$E$5)*'Model Settings'!$F$5+(N('Player Data'!AT88)&gt;='Model Settings'!$E$6)*'Model Settings'!$F$6+(N('Player Data'!BI88)&gt;='Model Settings'!$E$7)*'Model Settings'!$F$7+(N('Player Data'!AL88)&gt;='Model Settings'!$E$8)*'Model Settings'!$F$8+(N('Player Data'!AH88)&gt;='Model Settings'!$E$9)*'Model Settings'!$F$9+(N('Player Data'!B88)&lt;='Model Settings'!$E$10)*'Model Settings'!$F$10+(N('Player Data'!M88)&gt;='Model Settings'!$E$11)*'Model Settings'!$F$11+(N('Player Data'!J88)&lt;='Model Settings'!$E$12)*'Model Settings'!$F$12+(N('Player Data'!V88)&gt;='Model Settings'!$E$13)*'Model Settings'!$F$13+(N('Player Data'!W88)&gt;='Model Settings'!$E$14)*'Model Settings'!$F$14+(N('Player Data'!AE88)&gt;='Model Settings'!$E$15)*'Model Settings'!$F$15+(N('Player Data'!BF88)&gt;='Model Settings'!$E$16)*'Model Settings'!$F$16+(N('Player Data'!AX88)&gt;='Model Settings'!$E$17)*'Model Settings'!$F$17+(N('Player Data'!AP88)&gt;='Model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15</v>
      </c>
      <c r="C88" s="34" t="str">
        <f aca="false">IF('Player Data'!E88&lt;='Model Settings'!$E$69,ROUND(100*((N('Player Data'!H88)&gt;='Model Settings'!$E$19)*'Model Settings'!$F$19+(N('Player Data'!S88)&gt;='Model Settings'!$E$20)*'Model Settings'!$F$20+(N('Player Data'!AH88)&gt;='Model Settings'!$E$21)*'Model Settings'!$F$21+(N('Player Data'!AX88)&gt;='Model Settings'!$E$22)*'Model Settings'!$F$22+(N('Player Data'!Y88)&gt;='Model Settings'!$E$23)*'Model Settings'!$F$23+(N('Player Data'!AM88)&gt;='Model Settings'!$E$24)*'Model Settings'!$F$24)/('Model Settings'!$F$19+'Model Settings'!$F$20+'Model Settings'!$F$21+'Model Settings'!$F$22+'Model Settings'!$F$23+'Model Settings'!$F$24),0),"n/a")</f>
        <v>n/a</v>
      </c>
      <c r="D88" s="50" t="n">
        <f aca="false">ROUND(100*((N('Player Data'!U88)&gt;='Model Settings'!$E$25)*'Model Settings'!$F$25+(N('Player Data'!V88)&gt;='Model Settings'!$E$26)*'Model Settings'!$F$26+(N('Player Data'!W88)&gt;='Model Settings'!$E$27)*'Model Settings'!$F$27+(N('Player Data'!AT88)&gt;='Model Settings'!$E$28)*'Model Settings'!$F$28+(N('Player Data'!AE88)&gt;='Model Settings'!$E$29)*'Model Settings'!$F$29+(N('Player Data'!AO88)&gt;='Model Settings'!$E$30)*'Model Settings'!$F$30+(N('Player Data'!AG88)&gt;='Model Settings'!$E$31)*'Model Settings'!$F$31)/('Model Settings'!$F$25+'Model Settings'!$F$26+'Model Settings'!$F$27+'Model Settings'!$F$28+'Model Settings'!$F$29+'Model Settings'!$F$30+'Model Settings'!$F$31),0)</f>
        <v>29</v>
      </c>
      <c r="E88" s="50" t="n">
        <f aca="false">ROUND(100*((N('Player Data'!Z88)&gt;='Model Settings'!$E$32)*'Model Settings'!$F$32+(N('Player Data'!BN88)&gt;='Model Settings'!$E$33)*'Model Settings'!$F$33+(N('Player Data'!BO88)&gt;='Model Settings'!$E$34)*'Model Settings'!$F$34+(N('Player Data'!BP88)&gt;='Model Settings'!$E$35)*'Model Settings'!$F$35+('Player Data'!BR88='Model Settings'!$E$36)*'Model Settings'!$F$36+(N('Player Data'!AW88)&gt;='Model Settings'!$E$37)*'Model Settings'!$F$37+(N('Player Data'!AF88)&lt;='Model Settings'!$E$38)*'Model Settings'!$F$38)/('Model Settings'!$F$32+'Model Settings'!$F$33+'Model Settings'!$F$34+'Model Settings'!$F$35+'Model Settings'!$F$36+'Model Settings'!$F$37+'Model Settings'!$F$38),0)</f>
        <v>14</v>
      </c>
      <c r="F88" s="50" t="n">
        <f aca="false">ROUND(100*((N('Player Data'!K88)&gt;='Model Settings'!$E$39)*'Model Settings'!$F$39+(N('Player Data'!P88)&gt;='Model Settings'!$E$40)*'Model Settings'!$F$40+(N('Player Data'!M88)&gt;='Model Settings'!$E$41)*'Model Settings'!$F$41+(N('Player Data'!AU88)&gt;='Model Settings'!$E$42)*'Model Settings'!$F$42+(N('Player Data'!CL88)&gt;='Model Settings'!$E$43)*'Model Settings'!$F$43+(N('Player Data'!Q88)&gt;='Model Settings'!$E$44)*'Model Settings'!$F$44)/('Model Settings'!$F$39+'Model Settings'!$F$40+'Model Settings'!$F$41+'Model Settings'!$F$42+'Model Settings'!$F$43+'Model Settings'!$F$44),0)</f>
        <v>17</v>
      </c>
      <c r="G88" s="50" t="n">
        <f aca="false">ROUND(100*((N('Player Data'!BE88)&gt;='Model Settings'!$E$45)*'Model Settings'!$F$45+(N('Player Data'!BH88)&gt;='Model Settings'!$E$46)*'Model Settings'!$F$46+(N('Player Data'!U88)&gt;='Model Settings'!$E$47)*'Model Settings'!$F$47+(N('Player Data'!BN88)&gt;='Model Settings'!$E$48)*'Model Settings'!$F$48+(N('Player Data'!AX88)&gt;='Model Settings'!$E$49)*'Model Settings'!$F$49+(N('Player Data'!BL88)&gt;='Model Settings'!$E$50)*'Model Settings'!$F$50+(N('Player Data'!BI88)&gt;='Model Settings'!$E$51)*'Model Settings'!$F$51)/('Model Settings'!$F$45+'Model Settings'!$F$46+'Model Settings'!$F$47+'Model Settings'!$F$48+'Model Settings'!$F$49+'Model Settings'!$F$50+'Model Settings'!$F$51),0)</f>
        <v>14</v>
      </c>
      <c r="H88" s="34" t="str">
        <f aca="false">IF(AND(B88&lt;'Model Settings'!$E$66,E88&lt;'Model Settings'!$E$68),"Non-problem",IF(E88&gt;='Model Settings'!$E$68,"Financially vulnerable",IF(OR(N('Player Data'!BY88)&gt;=1,N('Player Data'!BX88)&gt;=2,N('Player Data'!BW88)&gt;=3),"Emotionally vulnerable","At-risk")))</f>
        <v>Non-problem</v>
      </c>
      <c r="I88" s="34" t="str">
        <f aca="false">IF(OR(N('Player Data'!BY88)&gt;=1,'Player Data'!BZ88="Yes"),"Alert","None")</f>
        <v>None</v>
      </c>
      <c r="J88" s="34" t="str">
        <f aca="false">IF(OR(B88&gt;='Model Settings'!$E$67,'Player Data'!BM88="Yes",I88="Alert"),"Suppress",IF(AND(B88&gt;='Model Settings'!$E$66,'Player Data'!G88="Yes"),"Review VIP","Allow"))</f>
        <v>Allow</v>
      </c>
      <c r="K88" s="50" t="n">
        <f aca="false">ROUND(100*((N('Player Data'!CH88)&gt;='Model Settings'!$E$52)*'Model Settings'!$F$52+(N('Player Data'!CI88)&gt;='Model Settings'!$E$53)*'Model Settings'!$F$53+(N('Player Data'!R88)&gt;='Model Settings'!$E$54)*'Model Settings'!$F$54+(N('Player Data'!Y88)&gt;='Model Settings'!$E$55)*'Model Settings'!$F$55+(N('Player Data'!AS88)&gt;='Model Settings'!$E$56)*'Model Settings'!$F$56)/('Model Settings'!$F$52+'Model Settings'!$F$53+'Model Settings'!$F$54+'Model Settings'!$F$55+'Model Settings'!$F$56),0)</f>
        <v>60</v>
      </c>
      <c r="L88" s="34" t="n">
        <f aca="false">IF('Player Data'!D88="Spain",ROUND(100*((N('Player Data'!H88)&gt;='Model Settings'!$E$57)*'Model Settings'!$F$57+(N('Player Data'!AI88)&gt;='Model Settings'!$E$58)*'Model Settings'!$F$58+(N('Player Data'!AL88)&gt;='Model Settings'!$E$59)*'Model Settings'!$F$59+(N('Player Data'!M88)&gt;='Model Settings'!$E$60)*'Model Settings'!$F$60+(N('Player Data'!X88)&lt;='Model Settings'!$E$61)*'Model Settings'!$F$61+(N('Player Data'!Y88)&gt;='Model Settings'!$E$62)*'Model Settings'!$F$62+(N('Player Data'!P88)&gt;='Model Settings'!$E$63)*'Model Settings'!$F$63)/('Model Settings'!$F$57+'Model Settings'!$F$58+'Model Settings'!$F$59+'Model Settings'!$F$60+'Model Settings'!$F$61+'Model Settings'!$F$62+'Model Settings'!$F$63),0),"n/a")</f>
        <v>0</v>
      </c>
      <c r="M88" s="34" t="str">
        <f aca="false">IF('Player Data'!CA88="None","No contact yet",IF('Player Data'!CA88="Improved","Working",IF('Player Data'!CA88="No change","Review approach","Escalate")))</f>
        <v>No contact yet</v>
      </c>
      <c r="N88" s="49" t="str">
        <f aca="false">IF(OR('Player Data'!BM88="Yes",I88="Alert"),"High",IF(B88&gt;='Model Settings'!$E$67,"High",IF(OR(B88&gt;='Model Settings'!$E$66,D88&gt;='Model Settings'!$E$68,F88&gt;='Model Settings'!$E$68,K88&gt;='Model Settings'!$E$68),"Medium","Low")))</f>
        <v>Medium</v>
      </c>
      <c r="O88" s="34" t="str">
        <f aca="false">IF(N88="High","Contact player + review within 48h; stop marketing",IF(N88="Medium","Safer gambling message; monitor weekly","No action; routine monitoring"))</f>
        <v>Safer gambling message; monitor weekly</v>
      </c>
      <c r="P88" s="34" t="n">
        <f aca="false">IF(OR(N88="High",AND('Model Settings'!$E$70="High+Medium",N88="Medium")),1,0)</f>
        <v>0</v>
      </c>
      <c r="Q88" s="34" t="n">
        <f aca="false">'Player Data'!CM88</f>
        <v>1</v>
      </c>
    </row>
    <row r="89" customFormat="false" ht="15" hidden="false" customHeight="false" outlineLevel="0" collapsed="false">
      <c r="A89" s="49" t="str">
        <f aca="false">'Player Data'!A89</f>
        <v>P084</v>
      </c>
      <c r="B89" s="50" t="n">
        <f aca="false">ROUND(100*((N('Player Data'!U89)&gt;='Model Settings'!$E$5)*'Model Settings'!$F$5+(N('Player Data'!AT89)&gt;='Model Settings'!$E$6)*'Model Settings'!$F$6+(N('Player Data'!BI89)&gt;='Model Settings'!$E$7)*'Model Settings'!$F$7+(N('Player Data'!AL89)&gt;='Model Settings'!$E$8)*'Model Settings'!$F$8+(N('Player Data'!AH89)&gt;='Model Settings'!$E$9)*'Model Settings'!$F$9+(N('Player Data'!B89)&lt;='Model Settings'!$E$10)*'Model Settings'!$F$10+(N('Player Data'!M89)&gt;='Model Settings'!$E$11)*'Model Settings'!$F$11+(N('Player Data'!J89)&lt;='Model Settings'!$E$12)*'Model Settings'!$F$12+(N('Player Data'!V89)&gt;='Model Settings'!$E$13)*'Model Settings'!$F$13+(N('Player Data'!W89)&gt;='Model Settings'!$E$14)*'Model Settings'!$F$14+(N('Player Data'!AE89)&gt;='Model Settings'!$E$15)*'Model Settings'!$F$15+(N('Player Data'!BF89)&gt;='Model Settings'!$E$16)*'Model Settings'!$F$16+(N('Player Data'!AX89)&gt;='Model Settings'!$E$17)*'Model Settings'!$F$17+(N('Player Data'!AP89)&gt;='Model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11</v>
      </c>
      <c r="C89" s="34" t="str">
        <f aca="false">IF('Player Data'!E89&lt;='Model Settings'!$E$69,ROUND(100*((N('Player Data'!H89)&gt;='Model Settings'!$E$19)*'Model Settings'!$F$19+(N('Player Data'!S89)&gt;='Model Settings'!$E$20)*'Model Settings'!$F$20+(N('Player Data'!AH89)&gt;='Model Settings'!$E$21)*'Model Settings'!$F$21+(N('Player Data'!AX89)&gt;='Model Settings'!$E$22)*'Model Settings'!$F$22+(N('Player Data'!Y89)&gt;='Model Settings'!$E$23)*'Model Settings'!$F$23+(N('Player Data'!AM89)&gt;='Model Settings'!$E$24)*'Model Settings'!$F$24)/('Model Settings'!$F$19+'Model Settings'!$F$20+'Model Settings'!$F$21+'Model Settings'!$F$22+'Model Settings'!$F$23+'Model Settings'!$F$24),0),"n/a")</f>
        <v>n/a</v>
      </c>
      <c r="D89" s="50" t="n">
        <f aca="false">ROUND(100*((N('Player Data'!U89)&gt;='Model Settings'!$E$25)*'Model Settings'!$F$25+(N('Player Data'!V89)&gt;='Model Settings'!$E$26)*'Model Settings'!$F$26+(N('Player Data'!W89)&gt;='Model Settings'!$E$27)*'Model Settings'!$F$27+(N('Player Data'!AT89)&gt;='Model Settings'!$E$28)*'Model Settings'!$F$28+(N('Player Data'!AE89)&gt;='Model Settings'!$E$29)*'Model Settings'!$F$29+(N('Player Data'!AO89)&gt;='Model Settings'!$E$30)*'Model Settings'!$F$30+(N('Player Data'!AG89)&gt;='Model Settings'!$E$31)*'Model Settings'!$F$31)/('Model Settings'!$F$25+'Model Settings'!$F$26+'Model Settings'!$F$27+'Model Settings'!$F$28+'Model Settings'!$F$29+'Model Settings'!$F$30+'Model Settings'!$F$31),0)</f>
        <v>0</v>
      </c>
      <c r="E89" s="50" t="n">
        <f aca="false">ROUND(100*((N('Player Data'!Z89)&gt;='Model Settings'!$E$32)*'Model Settings'!$F$32+(N('Player Data'!BN89)&gt;='Model Settings'!$E$33)*'Model Settings'!$F$33+(N('Player Data'!BO89)&gt;='Model Settings'!$E$34)*'Model Settings'!$F$34+(N('Player Data'!BP89)&gt;='Model Settings'!$E$35)*'Model Settings'!$F$35+('Player Data'!BR89='Model Settings'!$E$36)*'Model Settings'!$F$36+(N('Player Data'!AW89)&gt;='Model Settings'!$E$37)*'Model Settings'!$F$37+(N('Player Data'!AF89)&lt;='Model Settings'!$E$38)*'Model Settings'!$F$38)/('Model Settings'!$F$32+'Model Settings'!$F$33+'Model Settings'!$F$34+'Model Settings'!$F$35+'Model Settings'!$F$36+'Model Settings'!$F$37+'Model Settings'!$F$38),0)</f>
        <v>0</v>
      </c>
      <c r="F89" s="50" t="n">
        <f aca="false">ROUND(100*((N('Player Data'!K89)&gt;='Model Settings'!$E$39)*'Model Settings'!$F$39+(N('Player Data'!P89)&gt;='Model Settings'!$E$40)*'Model Settings'!$F$40+(N('Player Data'!M89)&gt;='Model Settings'!$E$41)*'Model Settings'!$F$41+(N('Player Data'!AU89)&gt;='Model Settings'!$E$42)*'Model Settings'!$F$42+(N('Player Data'!CL89)&gt;='Model Settings'!$E$43)*'Model Settings'!$F$43+(N('Player Data'!Q89)&gt;='Model Settings'!$E$44)*'Model Settings'!$F$44)/('Model Settings'!$F$39+'Model Settings'!$F$40+'Model Settings'!$F$41+'Model Settings'!$F$42+'Model Settings'!$F$43+'Model Settings'!$F$44),0)</f>
        <v>17</v>
      </c>
      <c r="G89" s="50" t="n">
        <f aca="false">ROUND(100*((N('Player Data'!BE89)&gt;='Model Settings'!$E$45)*'Model Settings'!$F$45+(N('Player Data'!BH89)&gt;='Model Settings'!$E$46)*'Model Settings'!$F$46+(N('Player Data'!U89)&gt;='Model Settings'!$E$47)*'Model Settings'!$F$47+(N('Player Data'!BN89)&gt;='Model Settings'!$E$48)*'Model Settings'!$F$48+(N('Player Data'!AX89)&gt;='Model Settings'!$E$49)*'Model Settings'!$F$49+(N('Player Data'!BL89)&gt;='Model Settings'!$E$50)*'Model Settings'!$F$50+(N('Player Data'!BI89)&gt;='Model Settings'!$E$51)*'Model Settings'!$F$51)/('Model Settings'!$F$45+'Model Settings'!$F$46+'Model Settings'!$F$47+'Model Settings'!$F$48+'Model Settings'!$F$49+'Model Settings'!$F$50+'Model Settings'!$F$51),0)</f>
        <v>0</v>
      </c>
      <c r="H89" s="34" t="str">
        <f aca="false">IF(AND(B89&lt;'Model Settings'!$E$66,E89&lt;'Model Settings'!$E$68),"Non-problem",IF(E89&gt;='Model Settings'!$E$68,"Financially vulnerable",IF(OR(N('Player Data'!BY89)&gt;=1,N('Player Data'!BX89)&gt;=2,N('Player Data'!BW89)&gt;=3),"Emotionally vulnerable","At-risk")))</f>
        <v>Non-problem</v>
      </c>
      <c r="I89" s="34" t="str">
        <f aca="false">IF(OR(N('Player Data'!BY89)&gt;=1,'Player Data'!BZ89="Yes"),"Alert","None")</f>
        <v>None</v>
      </c>
      <c r="J89" s="34" t="str">
        <f aca="false">IF(OR(B89&gt;='Model Settings'!$E$67,'Player Data'!BM89="Yes",I89="Alert"),"Suppress",IF(AND(B89&gt;='Model Settings'!$E$66,'Player Data'!G89="Yes"),"Review VIP","Allow"))</f>
        <v>Allow</v>
      </c>
      <c r="K89" s="50" t="n">
        <f aca="false">ROUND(100*((N('Player Data'!CH89)&gt;='Model Settings'!$E$52)*'Model Settings'!$F$52+(N('Player Data'!CI89)&gt;='Model Settings'!$E$53)*'Model Settings'!$F$53+(N('Player Data'!R89)&gt;='Model Settings'!$E$54)*'Model Settings'!$F$54+(N('Player Data'!Y89)&gt;='Model Settings'!$E$55)*'Model Settings'!$F$55+(N('Player Data'!AS89)&gt;='Model Settings'!$E$56)*'Model Settings'!$F$56)/('Model Settings'!$F$52+'Model Settings'!$F$53+'Model Settings'!$F$54+'Model Settings'!$F$55+'Model Settings'!$F$56),0)</f>
        <v>0</v>
      </c>
      <c r="L89" s="34" t="str">
        <f aca="false">IF('Player Data'!D89="Spain",ROUND(100*((N('Player Data'!H89)&gt;='Model Settings'!$E$57)*'Model Settings'!$F$57+(N('Player Data'!AI89)&gt;='Model Settings'!$E$58)*'Model Settings'!$F$58+(N('Player Data'!AL89)&gt;='Model Settings'!$E$59)*'Model Settings'!$F$59+(N('Player Data'!M89)&gt;='Model Settings'!$E$60)*'Model Settings'!$F$60+(N('Player Data'!X89)&lt;='Model Settings'!$E$61)*'Model Settings'!$F$61+(N('Player Data'!Y89)&gt;='Model Settings'!$E$62)*'Model Settings'!$F$62+(N('Player Data'!P89)&gt;='Model Settings'!$E$63)*'Model Settings'!$F$63)/('Model Settings'!$F$57+'Model Settings'!$F$58+'Model Settings'!$F$59+'Model Settings'!$F$60+'Model Settings'!$F$61+'Model Settings'!$F$62+'Model Settings'!$F$63),0),"n/a")</f>
        <v>n/a</v>
      </c>
      <c r="M89" s="34" t="str">
        <f aca="false">IF('Player Data'!CA89="None","No contact yet",IF('Player Data'!CA89="Improved","Working",IF('Player Data'!CA89="No change","Review approach","Escalate")))</f>
        <v>No contact yet</v>
      </c>
      <c r="N89" s="49" t="str">
        <f aca="false">IF(OR('Player Data'!BM89="Yes",I89="Alert"),"High",IF(B89&gt;='Model Settings'!$E$67,"High",IF(OR(B89&gt;='Model Settings'!$E$66,D89&gt;='Model Settings'!$E$68,F89&gt;='Model Settings'!$E$68,K89&gt;='Model Settings'!$E$68),"Medium","Low")))</f>
        <v>Low</v>
      </c>
      <c r="O89" s="34" t="str">
        <f aca="false">IF(N89="High","Contact player + review within 48h; stop marketing",IF(N89="Medium","Safer gambling message; monitor weekly","No action; routine monitoring"))</f>
        <v>No action; routine monitoring</v>
      </c>
      <c r="P89" s="34" t="n">
        <f aca="false">IF(OR(N89="High",AND('Model Settings'!$E$70="High+Medium",N89="Medium")),1,0)</f>
        <v>0</v>
      </c>
      <c r="Q89" s="34" t="n">
        <f aca="false">'Player Data'!CM89</f>
        <v>0</v>
      </c>
    </row>
    <row r="90" customFormat="false" ht="15" hidden="false" customHeight="false" outlineLevel="0" collapsed="false">
      <c r="A90" s="49" t="str">
        <f aca="false">'Player Data'!A90</f>
        <v>P085</v>
      </c>
      <c r="B90" s="50" t="n">
        <f aca="false">ROUND(100*((N('Player Data'!U90)&gt;='Model Settings'!$E$5)*'Model Settings'!$F$5+(N('Player Data'!AT90)&gt;='Model Settings'!$E$6)*'Model Settings'!$F$6+(N('Player Data'!BI90)&gt;='Model Settings'!$E$7)*'Model Settings'!$F$7+(N('Player Data'!AL90)&gt;='Model Settings'!$E$8)*'Model Settings'!$F$8+(N('Player Data'!AH90)&gt;='Model Settings'!$E$9)*'Model Settings'!$F$9+(N('Player Data'!B90)&lt;='Model Settings'!$E$10)*'Model Settings'!$F$10+(N('Player Data'!M90)&gt;='Model Settings'!$E$11)*'Model Settings'!$F$11+(N('Player Data'!J90)&lt;='Model Settings'!$E$12)*'Model Settings'!$F$12+(N('Player Data'!V90)&gt;='Model Settings'!$E$13)*'Model Settings'!$F$13+(N('Player Data'!W90)&gt;='Model Settings'!$E$14)*'Model Settings'!$F$14+(N('Player Data'!AE90)&gt;='Model Settings'!$E$15)*'Model Settings'!$F$15+(N('Player Data'!BF90)&gt;='Model Settings'!$E$16)*'Model Settings'!$F$16+(N('Player Data'!AX90)&gt;='Model Settings'!$E$17)*'Model Settings'!$F$17+(N('Player Data'!AP90)&gt;='Model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90" s="34" t="str">
        <f aca="false">IF('Player Data'!E90&lt;='Model Settings'!$E$69,ROUND(100*((N('Player Data'!H90)&gt;='Model Settings'!$E$19)*'Model Settings'!$F$19+(N('Player Data'!S90)&gt;='Model Settings'!$E$20)*'Model Settings'!$F$20+(N('Player Data'!AH90)&gt;='Model Settings'!$E$21)*'Model Settings'!$F$21+(N('Player Data'!AX90)&gt;='Model Settings'!$E$22)*'Model Settings'!$F$22+(N('Player Data'!Y90)&gt;='Model Settings'!$E$23)*'Model Settings'!$F$23+(N('Player Data'!AM90)&gt;='Model Settings'!$E$24)*'Model Settings'!$F$24)/('Model Settings'!$F$19+'Model Settings'!$F$20+'Model Settings'!$F$21+'Model Settings'!$F$22+'Model Settings'!$F$23+'Model Settings'!$F$24),0),"n/a")</f>
        <v>n/a</v>
      </c>
      <c r="D90" s="50" t="n">
        <f aca="false">ROUND(100*((N('Player Data'!U90)&gt;='Model Settings'!$E$25)*'Model Settings'!$F$25+(N('Player Data'!V90)&gt;='Model Settings'!$E$26)*'Model Settings'!$F$26+(N('Player Data'!W90)&gt;='Model Settings'!$E$27)*'Model Settings'!$F$27+(N('Player Data'!AT90)&gt;='Model Settings'!$E$28)*'Model Settings'!$F$28+(N('Player Data'!AE90)&gt;='Model Settings'!$E$29)*'Model Settings'!$F$29+(N('Player Data'!AO90)&gt;='Model Settings'!$E$30)*'Model Settings'!$F$30+(N('Player Data'!AG90)&gt;='Model Settings'!$E$31)*'Model Settings'!$F$31)/('Model Settings'!$F$25+'Model Settings'!$F$26+'Model Settings'!$F$27+'Model Settings'!$F$28+'Model Settings'!$F$29+'Model Settings'!$F$30+'Model Settings'!$F$31),0)</f>
        <v>0</v>
      </c>
      <c r="E90" s="50" t="n">
        <f aca="false">ROUND(100*((N('Player Data'!Z90)&gt;='Model Settings'!$E$32)*'Model Settings'!$F$32+(N('Player Data'!BN90)&gt;='Model Settings'!$E$33)*'Model Settings'!$F$33+(N('Player Data'!BO90)&gt;='Model Settings'!$E$34)*'Model Settings'!$F$34+(N('Player Data'!BP90)&gt;='Model Settings'!$E$35)*'Model Settings'!$F$35+('Player Data'!BR90='Model Settings'!$E$36)*'Model Settings'!$F$36+(N('Player Data'!AW90)&gt;='Model Settings'!$E$37)*'Model Settings'!$F$37+(N('Player Data'!AF90)&lt;='Model Settings'!$E$38)*'Model Settings'!$F$38)/('Model Settings'!$F$32+'Model Settings'!$F$33+'Model Settings'!$F$34+'Model Settings'!$F$35+'Model Settings'!$F$36+'Model Settings'!$F$37+'Model Settings'!$F$38),0)</f>
        <v>0</v>
      </c>
      <c r="F90" s="50" t="n">
        <f aca="false">ROUND(100*((N('Player Data'!K90)&gt;='Model Settings'!$E$39)*'Model Settings'!$F$39+(N('Player Data'!P90)&gt;='Model Settings'!$E$40)*'Model Settings'!$F$40+(N('Player Data'!M90)&gt;='Model Settings'!$E$41)*'Model Settings'!$F$41+(N('Player Data'!AU90)&gt;='Model Settings'!$E$42)*'Model Settings'!$F$42+(N('Player Data'!CL90)&gt;='Model Settings'!$E$43)*'Model Settings'!$F$43+(N('Player Data'!Q90)&gt;='Model Settings'!$E$44)*'Model Settings'!$F$44)/('Model Settings'!$F$39+'Model Settings'!$F$40+'Model Settings'!$F$41+'Model Settings'!$F$42+'Model Settings'!$F$43+'Model Settings'!$F$44),0)</f>
        <v>0</v>
      </c>
      <c r="G90" s="50" t="n">
        <f aca="false">ROUND(100*((N('Player Data'!BE90)&gt;='Model Settings'!$E$45)*'Model Settings'!$F$45+(N('Player Data'!BH90)&gt;='Model Settings'!$E$46)*'Model Settings'!$F$46+(N('Player Data'!U90)&gt;='Model Settings'!$E$47)*'Model Settings'!$F$47+(N('Player Data'!BN90)&gt;='Model Settings'!$E$48)*'Model Settings'!$F$48+(N('Player Data'!AX90)&gt;='Model Settings'!$E$49)*'Model Settings'!$F$49+(N('Player Data'!BL90)&gt;='Model Settings'!$E$50)*'Model Settings'!$F$50+(N('Player Data'!BI90)&gt;='Model Settings'!$E$51)*'Model Settings'!$F$51)/('Model Settings'!$F$45+'Model Settings'!$F$46+'Model Settings'!$F$47+'Model Settings'!$F$48+'Model Settings'!$F$49+'Model Settings'!$F$50+'Model Settings'!$F$51),0)</f>
        <v>0</v>
      </c>
      <c r="H90" s="34" t="str">
        <f aca="false">IF(AND(B90&lt;'Model Settings'!$E$66,E90&lt;'Model Settings'!$E$68),"Non-problem",IF(E90&gt;='Model Settings'!$E$68,"Financially vulnerable",IF(OR(N('Player Data'!BY90)&gt;=1,N('Player Data'!BX90)&gt;=2,N('Player Data'!BW90)&gt;=3),"Emotionally vulnerable","At-risk")))</f>
        <v>Non-problem</v>
      </c>
      <c r="I90" s="34" t="str">
        <f aca="false">IF(OR(N('Player Data'!BY90)&gt;=1,'Player Data'!BZ90="Yes"),"Alert","None")</f>
        <v>None</v>
      </c>
      <c r="J90" s="34" t="str">
        <f aca="false">IF(OR(B90&gt;='Model Settings'!$E$67,'Player Data'!BM90="Yes",I90="Alert"),"Suppress",IF(AND(B90&gt;='Model Settings'!$E$66,'Player Data'!G90="Yes"),"Review VIP","Allow"))</f>
        <v>Allow</v>
      </c>
      <c r="K90" s="50" t="n">
        <f aca="false">ROUND(100*((N('Player Data'!CH90)&gt;='Model Settings'!$E$52)*'Model Settings'!$F$52+(N('Player Data'!CI90)&gt;='Model Settings'!$E$53)*'Model Settings'!$F$53+(N('Player Data'!R90)&gt;='Model Settings'!$E$54)*'Model Settings'!$F$54+(N('Player Data'!Y90)&gt;='Model Settings'!$E$55)*'Model Settings'!$F$55+(N('Player Data'!AS90)&gt;='Model Settings'!$E$56)*'Model Settings'!$F$56)/('Model Settings'!$F$52+'Model Settings'!$F$53+'Model Settings'!$F$54+'Model Settings'!$F$55+'Model Settings'!$F$56),0)</f>
        <v>0</v>
      </c>
      <c r="L90" s="34" t="str">
        <f aca="false">IF('Player Data'!D90="Spain",ROUND(100*((N('Player Data'!H90)&gt;='Model Settings'!$E$57)*'Model Settings'!$F$57+(N('Player Data'!AI90)&gt;='Model Settings'!$E$58)*'Model Settings'!$F$58+(N('Player Data'!AL90)&gt;='Model Settings'!$E$59)*'Model Settings'!$F$59+(N('Player Data'!M90)&gt;='Model Settings'!$E$60)*'Model Settings'!$F$60+(N('Player Data'!X90)&lt;='Model Settings'!$E$61)*'Model Settings'!$F$61+(N('Player Data'!Y90)&gt;='Model Settings'!$E$62)*'Model Settings'!$F$62+(N('Player Data'!P90)&gt;='Model Settings'!$E$63)*'Model Settings'!$F$63)/('Model Settings'!$F$57+'Model Settings'!$F$58+'Model Settings'!$F$59+'Model Settings'!$F$60+'Model Settings'!$F$61+'Model Settings'!$F$62+'Model Settings'!$F$63),0),"n/a")</f>
        <v>n/a</v>
      </c>
      <c r="M90" s="34" t="str">
        <f aca="false">IF('Player Data'!CA90="None","No contact yet",IF('Player Data'!CA90="Improved","Working",IF('Player Data'!CA90="No change","Review approach","Escalate")))</f>
        <v>No contact yet</v>
      </c>
      <c r="N90" s="49" t="str">
        <f aca="false">IF(OR('Player Data'!BM90="Yes",I90="Alert"),"High",IF(B90&gt;='Model Settings'!$E$67,"High",IF(OR(B90&gt;='Model Settings'!$E$66,D90&gt;='Model Settings'!$E$68,F90&gt;='Model Settings'!$E$68,K90&gt;='Model Settings'!$E$68),"Medium","Low")))</f>
        <v>Low</v>
      </c>
      <c r="O90" s="34" t="str">
        <f aca="false">IF(N90="High","Contact player + review within 48h; stop marketing",IF(N90="Medium","Safer gambling message; monitor weekly","No action; routine monitoring"))</f>
        <v>No action; routine monitoring</v>
      </c>
      <c r="P90" s="34" t="n">
        <f aca="false">IF(OR(N90="High",AND('Model Settings'!$E$70="High+Medium",N90="Medium")),1,0)</f>
        <v>0</v>
      </c>
      <c r="Q90" s="34" t="n">
        <f aca="false">'Player Data'!CM90</f>
        <v>0</v>
      </c>
    </row>
    <row r="91" customFormat="false" ht="15" hidden="false" customHeight="false" outlineLevel="0" collapsed="false">
      <c r="A91" s="49" t="str">
        <f aca="false">'Player Data'!A91</f>
        <v>P086</v>
      </c>
      <c r="B91" s="50" t="n">
        <f aca="false">ROUND(100*((N('Player Data'!U91)&gt;='Model Settings'!$E$5)*'Model Settings'!$F$5+(N('Player Data'!AT91)&gt;='Model Settings'!$E$6)*'Model Settings'!$F$6+(N('Player Data'!BI91)&gt;='Model Settings'!$E$7)*'Model Settings'!$F$7+(N('Player Data'!AL91)&gt;='Model Settings'!$E$8)*'Model Settings'!$F$8+(N('Player Data'!AH91)&gt;='Model Settings'!$E$9)*'Model Settings'!$F$9+(N('Player Data'!B91)&lt;='Model Settings'!$E$10)*'Model Settings'!$F$10+(N('Player Data'!M91)&gt;='Model Settings'!$E$11)*'Model Settings'!$F$11+(N('Player Data'!J91)&lt;='Model Settings'!$E$12)*'Model Settings'!$F$12+(N('Player Data'!V91)&gt;='Model Settings'!$E$13)*'Model Settings'!$F$13+(N('Player Data'!W91)&gt;='Model Settings'!$E$14)*'Model Settings'!$F$14+(N('Player Data'!AE91)&gt;='Model Settings'!$E$15)*'Model Settings'!$F$15+(N('Player Data'!BF91)&gt;='Model Settings'!$E$16)*'Model Settings'!$F$16+(N('Player Data'!AX91)&gt;='Model Settings'!$E$17)*'Model Settings'!$F$17+(N('Player Data'!AP91)&gt;='Model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91" s="34" t="str">
        <f aca="false">IF('Player Data'!E91&lt;='Model Settings'!$E$69,ROUND(100*((N('Player Data'!H91)&gt;='Model Settings'!$E$19)*'Model Settings'!$F$19+(N('Player Data'!S91)&gt;='Model Settings'!$E$20)*'Model Settings'!$F$20+(N('Player Data'!AH91)&gt;='Model Settings'!$E$21)*'Model Settings'!$F$21+(N('Player Data'!AX91)&gt;='Model Settings'!$E$22)*'Model Settings'!$F$22+(N('Player Data'!Y91)&gt;='Model Settings'!$E$23)*'Model Settings'!$F$23+(N('Player Data'!AM91)&gt;='Model Settings'!$E$24)*'Model Settings'!$F$24)/('Model Settings'!$F$19+'Model Settings'!$F$20+'Model Settings'!$F$21+'Model Settings'!$F$22+'Model Settings'!$F$23+'Model Settings'!$F$24),0),"n/a")</f>
        <v>n/a</v>
      </c>
      <c r="D91" s="50" t="n">
        <f aca="false">ROUND(100*((N('Player Data'!U91)&gt;='Model Settings'!$E$25)*'Model Settings'!$F$25+(N('Player Data'!V91)&gt;='Model Settings'!$E$26)*'Model Settings'!$F$26+(N('Player Data'!W91)&gt;='Model Settings'!$E$27)*'Model Settings'!$F$27+(N('Player Data'!AT91)&gt;='Model Settings'!$E$28)*'Model Settings'!$F$28+(N('Player Data'!AE91)&gt;='Model Settings'!$E$29)*'Model Settings'!$F$29+(N('Player Data'!AO91)&gt;='Model Settings'!$E$30)*'Model Settings'!$F$30+(N('Player Data'!AG91)&gt;='Model Settings'!$E$31)*'Model Settings'!$F$31)/('Model Settings'!$F$25+'Model Settings'!$F$26+'Model Settings'!$F$27+'Model Settings'!$F$28+'Model Settings'!$F$29+'Model Settings'!$F$30+'Model Settings'!$F$31),0)</f>
        <v>0</v>
      </c>
      <c r="E91" s="50" t="n">
        <f aca="false">ROUND(100*((N('Player Data'!Z91)&gt;='Model Settings'!$E$32)*'Model Settings'!$F$32+(N('Player Data'!BN91)&gt;='Model Settings'!$E$33)*'Model Settings'!$F$33+(N('Player Data'!BO91)&gt;='Model Settings'!$E$34)*'Model Settings'!$F$34+(N('Player Data'!BP91)&gt;='Model Settings'!$E$35)*'Model Settings'!$F$35+('Player Data'!BR91='Model Settings'!$E$36)*'Model Settings'!$F$36+(N('Player Data'!AW91)&gt;='Model Settings'!$E$37)*'Model Settings'!$F$37+(N('Player Data'!AF91)&lt;='Model Settings'!$E$38)*'Model Settings'!$F$38)/('Model Settings'!$F$32+'Model Settings'!$F$33+'Model Settings'!$F$34+'Model Settings'!$F$35+'Model Settings'!$F$36+'Model Settings'!$F$37+'Model Settings'!$F$38),0)</f>
        <v>0</v>
      </c>
      <c r="F91" s="50" t="n">
        <f aca="false">ROUND(100*((N('Player Data'!K91)&gt;='Model Settings'!$E$39)*'Model Settings'!$F$39+(N('Player Data'!P91)&gt;='Model Settings'!$E$40)*'Model Settings'!$F$40+(N('Player Data'!M91)&gt;='Model Settings'!$E$41)*'Model Settings'!$F$41+(N('Player Data'!AU91)&gt;='Model Settings'!$E$42)*'Model Settings'!$F$42+(N('Player Data'!CL91)&gt;='Model Settings'!$E$43)*'Model Settings'!$F$43+(N('Player Data'!Q91)&gt;='Model Settings'!$E$44)*'Model Settings'!$F$44)/('Model Settings'!$F$39+'Model Settings'!$F$40+'Model Settings'!$F$41+'Model Settings'!$F$42+'Model Settings'!$F$43+'Model Settings'!$F$44),0)</f>
        <v>0</v>
      </c>
      <c r="G91" s="50" t="n">
        <f aca="false">ROUND(100*((N('Player Data'!BE91)&gt;='Model Settings'!$E$45)*'Model Settings'!$F$45+(N('Player Data'!BH91)&gt;='Model Settings'!$E$46)*'Model Settings'!$F$46+(N('Player Data'!U91)&gt;='Model Settings'!$E$47)*'Model Settings'!$F$47+(N('Player Data'!BN91)&gt;='Model Settings'!$E$48)*'Model Settings'!$F$48+(N('Player Data'!AX91)&gt;='Model Settings'!$E$49)*'Model Settings'!$F$49+(N('Player Data'!BL91)&gt;='Model Settings'!$E$50)*'Model Settings'!$F$50+(N('Player Data'!BI91)&gt;='Model Settings'!$E$51)*'Model Settings'!$F$51)/('Model Settings'!$F$45+'Model Settings'!$F$46+'Model Settings'!$F$47+'Model Settings'!$F$48+'Model Settings'!$F$49+'Model Settings'!$F$50+'Model Settings'!$F$51),0)</f>
        <v>0</v>
      </c>
      <c r="H91" s="34" t="str">
        <f aca="false">IF(AND(B91&lt;'Model Settings'!$E$66,E91&lt;'Model Settings'!$E$68),"Non-problem",IF(E91&gt;='Model Settings'!$E$68,"Financially vulnerable",IF(OR(N('Player Data'!BY91)&gt;=1,N('Player Data'!BX91)&gt;=2,N('Player Data'!BW91)&gt;=3),"Emotionally vulnerable","At-risk")))</f>
        <v>Non-problem</v>
      </c>
      <c r="I91" s="34" t="str">
        <f aca="false">IF(OR(N('Player Data'!BY91)&gt;=1,'Player Data'!BZ91="Yes"),"Alert","None")</f>
        <v>None</v>
      </c>
      <c r="J91" s="34" t="str">
        <f aca="false">IF(OR(B91&gt;='Model Settings'!$E$67,'Player Data'!BM91="Yes",I91="Alert"),"Suppress",IF(AND(B91&gt;='Model Settings'!$E$66,'Player Data'!G91="Yes"),"Review VIP","Allow"))</f>
        <v>Allow</v>
      </c>
      <c r="K91" s="50" t="n">
        <f aca="false">ROUND(100*((N('Player Data'!CH91)&gt;='Model Settings'!$E$52)*'Model Settings'!$F$52+(N('Player Data'!CI91)&gt;='Model Settings'!$E$53)*'Model Settings'!$F$53+(N('Player Data'!R91)&gt;='Model Settings'!$E$54)*'Model Settings'!$F$54+(N('Player Data'!Y91)&gt;='Model Settings'!$E$55)*'Model Settings'!$F$55+(N('Player Data'!AS91)&gt;='Model Settings'!$E$56)*'Model Settings'!$F$56)/('Model Settings'!$F$52+'Model Settings'!$F$53+'Model Settings'!$F$54+'Model Settings'!$F$55+'Model Settings'!$F$56),0)</f>
        <v>0</v>
      </c>
      <c r="L91" s="34" t="str">
        <f aca="false">IF('Player Data'!D91="Spain",ROUND(100*((N('Player Data'!H91)&gt;='Model Settings'!$E$57)*'Model Settings'!$F$57+(N('Player Data'!AI91)&gt;='Model Settings'!$E$58)*'Model Settings'!$F$58+(N('Player Data'!AL91)&gt;='Model Settings'!$E$59)*'Model Settings'!$F$59+(N('Player Data'!M91)&gt;='Model Settings'!$E$60)*'Model Settings'!$F$60+(N('Player Data'!X91)&lt;='Model Settings'!$E$61)*'Model Settings'!$F$61+(N('Player Data'!Y91)&gt;='Model Settings'!$E$62)*'Model Settings'!$F$62+(N('Player Data'!P91)&gt;='Model Settings'!$E$63)*'Model Settings'!$F$63)/('Model Settings'!$F$57+'Model Settings'!$F$58+'Model Settings'!$F$59+'Model Settings'!$F$60+'Model Settings'!$F$61+'Model Settings'!$F$62+'Model Settings'!$F$63),0),"n/a")</f>
        <v>n/a</v>
      </c>
      <c r="M91" s="34" t="str">
        <f aca="false">IF('Player Data'!CA91="None","No contact yet",IF('Player Data'!CA91="Improved","Working",IF('Player Data'!CA91="No change","Review approach","Escalate")))</f>
        <v>No contact yet</v>
      </c>
      <c r="N91" s="49" t="str">
        <f aca="false">IF(OR('Player Data'!BM91="Yes",I91="Alert"),"High",IF(B91&gt;='Model Settings'!$E$67,"High",IF(OR(B91&gt;='Model Settings'!$E$66,D91&gt;='Model Settings'!$E$68,F91&gt;='Model Settings'!$E$68,K91&gt;='Model Settings'!$E$68),"Medium","Low")))</f>
        <v>Low</v>
      </c>
      <c r="O91" s="34" t="str">
        <f aca="false">IF(N91="High","Contact player + review within 48h; stop marketing",IF(N91="Medium","Safer gambling message; monitor weekly","No action; routine monitoring"))</f>
        <v>No action; routine monitoring</v>
      </c>
      <c r="P91" s="34" t="n">
        <f aca="false">IF(OR(N91="High",AND('Model Settings'!$E$70="High+Medium",N91="Medium")),1,0)</f>
        <v>0</v>
      </c>
      <c r="Q91" s="34" t="n">
        <f aca="false">'Player Data'!CM91</f>
        <v>0</v>
      </c>
    </row>
    <row r="92" customFormat="false" ht="15" hidden="false" customHeight="false" outlineLevel="0" collapsed="false">
      <c r="A92" s="49" t="str">
        <f aca="false">'Player Data'!A92</f>
        <v>P087</v>
      </c>
      <c r="B92" s="50" t="n">
        <f aca="false">ROUND(100*((N('Player Data'!U92)&gt;='Model Settings'!$E$5)*'Model Settings'!$F$5+(N('Player Data'!AT92)&gt;='Model Settings'!$E$6)*'Model Settings'!$F$6+(N('Player Data'!BI92)&gt;='Model Settings'!$E$7)*'Model Settings'!$F$7+(N('Player Data'!AL92)&gt;='Model Settings'!$E$8)*'Model Settings'!$F$8+(N('Player Data'!AH92)&gt;='Model Settings'!$E$9)*'Model Settings'!$F$9+(N('Player Data'!B92)&lt;='Model Settings'!$E$10)*'Model Settings'!$F$10+(N('Player Data'!M92)&gt;='Model Settings'!$E$11)*'Model Settings'!$F$11+(N('Player Data'!J92)&lt;='Model Settings'!$E$12)*'Model Settings'!$F$12+(N('Player Data'!V92)&gt;='Model Settings'!$E$13)*'Model Settings'!$F$13+(N('Player Data'!W92)&gt;='Model Settings'!$E$14)*'Model Settings'!$F$14+(N('Player Data'!AE92)&gt;='Model Settings'!$E$15)*'Model Settings'!$F$15+(N('Player Data'!BF92)&gt;='Model Settings'!$E$16)*'Model Settings'!$F$16+(N('Player Data'!AX92)&gt;='Model Settings'!$E$17)*'Model Settings'!$F$17+(N('Player Data'!AP92)&gt;='Model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92" s="34" t="str">
        <f aca="false">IF('Player Data'!E92&lt;='Model Settings'!$E$69,ROUND(100*((N('Player Data'!H92)&gt;='Model Settings'!$E$19)*'Model Settings'!$F$19+(N('Player Data'!S92)&gt;='Model Settings'!$E$20)*'Model Settings'!$F$20+(N('Player Data'!AH92)&gt;='Model Settings'!$E$21)*'Model Settings'!$F$21+(N('Player Data'!AX92)&gt;='Model Settings'!$E$22)*'Model Settings'!$F$22+(N('Player Data'!Y92)&gt;='Model Settings'!$E$23)*'Model Settings'!$F$23+(N('Player Data'!AM92)&gt;='Model Settings'!$E$24)*'Model Settings'!$F$24)/('Model Settings'!$F$19+'Model Settings'!$F$20+'Model Settings'!$F$21+'Model Settings'!$F$22+'Model Settings'!$F$23+'Model Settings'!$F$24),0),"n/a")</f>
        <v>n/a</v>
      </c>
      <c r="D92" s="50" t="n">
        <f aca="false">ROUND(100*((N('Player Data'!U92)&gt;='Model Settings'!$E$25)*'Model Settings'!$F$25+(N('Player Data'!V92)&gt;='Model Settings'!$E$26)*'Model Settings'!$F$26+(N('Player Data'!W92)&gt;='Model Settings'!$E$27)*'Model Settings'!$F$27+(N('Player Data'!AT92)&gt;='Model Settings'!$E$28)*'Model Settings'!$F$28+(N('Player Data'!AE92)&gt;='Model Settings'!$E$29)*'Model Settings'!$F$29+(N('Player Data'!AO92)&gt;='Model Settings'!$E$30)*'Model Settings'!$F$30+(N('Player Data'!AG92)&gt;='Model Settings'!$E$31)*'Model Settings'!$F$31)/('Model Settings'!$F$25+'Model Settings'!$F$26+'Model Settings'!$F$27+'Model Settings'!$F$28+'Model Settings'!$F$29+'Model Settings'!$F$30+'Model Settings'!$F$31),0)</f>
        <v>0</v>
      </c>
      <c r="E92" s="50" t="n">
        <f aca="false">ROUND(100*((N('Player Data'!Z92)&gt;='Model Settings'!$E$32)*'Model Settings'!$F$32+(N('Player Data'!BN92)&gt;='Model Settings'!$E$33)*'Model Settings'!$F$33+(N('Player Data'!BO92)&gt;='Model Settings'!$E$34)*'Model Settings'!$F$34+(N('Player Data'!BP92)&gt;='Model Settings'!$E$35)*'Model Settings'!$F$35+('Player Data'!BR92='Model Settings'!$E$36)*'Model Settings'!$F$36+(N('Player Data'!AW92)&gt;='Model Settings'!$E$37)*'Model Settings'!$F$37+(N('Player Data'!AF92)&lt;='Model Settings'!$E$38)*'Model Settings'!$F$38)/('Model Settings'!$F$32+'Model Settings'!$F$33+'Model Settings'!$F$34+'Model Settings'!$F$35+'Model Settings'!$F$36+'Model Settings'!$F$37+'Model Settings'!$F$38),0)</f>
        <v>0</v>
      </c>
      <c r="F92" s="50" t="n">
        <f aca="false">ROUND(100*((N('Player Data'!K92)&gt;='Model Settings'!$E$39)*'Model Settings'!$F$39+(N('Player Data'!P92)&gt;='Model Settings'!$E$40)*'Model Settings'!$F$40+(N('Player Data'!M92)&gt;='Model Settings'!$E$41)*'Model Settings'!$F$41+(N('Player Data'!AU92)&gt;='Model Settings'!$E$42)*'Model Settings'!$F$42+(N('Player Data'!CL92)&gt;='Model Settings'!$E$43)*'Model Settings'!$F$43+(N('Player Data'!Q92)&gt;='Model Settings'!$E$44)*'Model Settings'!$F$44)/('Model Settings'!$F$39+'Model Settings'!$F$40+'Model Settings'!$F$41+'Model Settings'!$F$42+'Model Settings'!$F$43+'Model Settings'!$F$44),0)</f>
        <v>0</v>
      </c>
      <c r="G92" s="50" t="n">
        <f aca="false">ROUND(100*((N('Player Data'!BE92)&gt;='Model Settings'!$E$45)*'Model Settings'!$F$45+(N('Player Data'!BH92)&gt;='Model Settings'!$E$46)*'Model Settings'!$F$46+(N('Player Data'!U92)&gt;='Model Settings'!$E$47)*'Model Settings'!$F$47+(N('Player Data'!BN92)&gt;='Model Settings'!$E$48)*'Model Settings'!$F$48+(N('Player Data'!AX92)&gt;='Model Settings'!$E$49)*'Model Settings'!$F$49+(N('Player Data'!BL92)&gt;='Model Settings'!$E$50)*'Model Settings'!$F$50+(N('Player Data'!BI92)&gt;='Model Settings'!$E$51)*'Model Settings'!$F$51)/('Model Settings'!$F$45+'Model Settings'!$F$46+'Model Settings'!$F$47+'Model Settings'!$F$48+'Model Settings'!$F$49+'Model Settings'!$F$50+'Model Settings'!$F$51),0)</f>
        <v>14</v>
      </c>
      <c r="H92" s="34" t="str">
        <f aca="false">IF(AND(B92&lt;'Model Settings'!$E$66,E92&lt;'Model Settings'!$E$68),"Non-problem",IF(E92&gt;='Model Settings'!$E$68,"Financially vulnerable",IF(OR(N('Player Data'!BY92)&gt;=1,N('Player Data'!BX92)&gt;=2,N('Player Data'!BW92)&gt;=3),"Emotionally vulnerable","At-risk")))</f>
        <v>Non-problem</v>
      </c>
      <c r="I92" s="34" t="str">
        <f aca="false">IF(OR(N('Player Data'!BY92)&gt;=1,'Player Data'!BZ92="Yes"),"Alert","None")</f>
        <v>None</v>
      </c>
      <c r="J92" s="34" t="str">
        <f aca="false">IF(OR(B92&gt;='Model Settings'!$E$67,'Player Data'!BM92="Yes",I92="Alert"),"Suppress",IF(AND(B92&gt;='Model Settings'!$E$66,'Player Data'!G92="Yes"),"Review VIP","Allow"))</f>
        <v>Allow</v>
      </c>
      <c r="K92" s="50" t="n">
        <f aca="false">ROUND(100*((N('Player Data'!CH92)&gt;='Model Settings'!$E$52)*'Model Settings'!$F$52+(N('Player Data'!CI92)&gt;='Model Settings'!$E$53)*'Model Settings'!$F$53+(N('Player Data'!R92)&gt;='Model Settings'!$E$54)*'Model Settings'!$F$54+(N('Player Data'!Y92)&gt;='Model Settings'!$E$55)*'Model Settings'!$F$55+(N('Player Data'!AS92)&gt;='Model Settings'!$E$56)*'Model Settings'!$F$56)/('Model Settings'!$F$52+'Model Settings'!$F$53+'Model Settings'!$F$54+'Model Settings'!$F$55+'Model Settings'!$F$56),0)</f>
        <v>40</v>
      </c>
      <c r="L92" s="34" t="str">
        <f aca="false">IF('Player Data'!D92="Spain",ROUND(100*((N('Player Data'!H92)&gt;='Model Settings'!$E$57)*'Model Settings'!$F$57+(N('Player Data'!AI92)&gt;='Model Settings'!$E$58)*'Model Settings'!$F$58+(N('Player Data'!AL92)&gt;='Model Settings'!$E$59)*'Model Settings'!$F$59+(N('Player Data'!M92)&gt;='Model Settings'!$E$60)*'Model Settings'!$F$60+(N('Player Data'!X92)&lt;='Model Settings'!$E$61)*'Model Settings'!$F$61+(N('Player Data'!Y92)&gt;='Model Settings'!$E$62)*'Model Settings'!$F$62+(N('Player Data'!P92)&gt;='Model Settings'!$E$63)*'Model Settings'!$F$63)/('Model Settings'!$F$57+'Model Settings'!$F$58+'Model Settings'!$F$59+'Model Settings'!$F$60+'Model Settings'!$F$61+'Model Settings'!$F$62+'Model Settings'!$F$63),0),"n/a")</f>
        <v>n/a</v>
      </c>
      <c r="M92" s="34" t="str">
        <f aca="false">IF('Player Data'!CA92="None","No contact yet",IF('Player Data'!CA92="Improved","Working",IF('Player Data'!CA92="No change","Review approach","Escalate")))</f>
        <v>No contact yet</v>
      </c>
      <c r="N92" s="49" t="str">
        <f aca="false">IF(OR('Player Data'!BM92="Yes",I92="Alert"),"High",IF(B92&gt;='Model Settings'!$E$67,"High",IF(OR(B92&gt;='Model Settings'!$E$66,D92&gt;='Model Settings'!$E$68,F92&gt;='Model Settings'!$E$68,K92&gt;='Model Settings'!$E$68),"Medium","Low")))</f>
        <v>Low</v>
      </c>
      <c r="O92" s="34" t="str">
        <f aca="false">IF(N92="High","Contact player + review within 48h; stop marketing",IF(N92="Medium","Safer gambling message; monitor weekly","No action; routine monitoring"))</f>
        <v>No action; routine monitoring</v>
      </c>
      <c r="P92" s="34" t="n">
        <f aca="false">IF(OR(N92="High",AND('Model Settings'!$E$70="High+Medium",N92="Medium")),1,0)</f>
        <v>0</v>
      </c>
      <c r="Q92" s="34" t="n">
        <f aca="false">'Player Data'!CM92</f>
        <v>0</v>
      </c>
    </row>
    <row r="93" customFormat="false" ht="15" hidden="false" customHeight="false" outlineLevel="0" collapsed="false">
      <c r="A93" s="49" t="str">
        <f aca="false">'Player Data'!A93</f>
        <v>P088</v>
      </c>
      <c r="B93" s="50" t="n">
        <f aca="false">ROUND(100*((N('Player Data'!U93)&gt;='Model Settings'!$E$5)*'Model Settings'!$F$5+(N('Player Data'!AT93)&gt;='Model Settings'!$E$6)*'Model Settings'!$F$6+(N('Player Data'!BI93)&gt;='Model Settings'!$E$7)*'Model Settings'!$F$7+(N('Player Data'!AL93)&gt;='Model Settings'!$E$8)*'Model Settings'!$F$8+(N('Player Data'!AH93)&gt;='Model Settings'!$E$9)*'Model Settings'!$F$9+(N('Player Data'!B93)&lt;='Model Settings'!$E$10)*'Model Settings'!$F$10+(N('Player Data'!M93)&gt;='Model Settings'!$E$11)*'Model Settings'!$F$11+(N('Player Data'!J93)&lt;='Model Settings'!$E$12)*'Model Settings'!$F$12+(N('Player Data'!V93)&gt;='Model Settings'!$E$13)*'Model Settings'!$F$13+(N('Player Data'!W93)&gt;='Model Settings'!$E$14)*'Model Settings'!$F$14+(N('Player Data'!AE93)&gt;='Model Settings'!$E$15)*'Model Settings'!$F$15+(N('Player Data'!BF93)&gt;='Model Settings'!$E$16)*'Model Settings'!$F$16+(N('Player Data'!AX93)&gt;='Model Settings'!$E$17)*'Model Settings'!$F$17+(N('Player Data'!AP93)&gt;='Model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</v>
      </c>
      <c r="C93" s="34" t="str">
        <f aca="false">IF('Player Data'!E93&lt;='Model Settings'!$E$69,ROUND(100*((N('Player Data'!H93)&gt;='Model Settings'!$E$19)*'Model Settings'!$F$19+(N('Player Data'!S93)&gt;='Model Settings'!$E$20)*'Model Settings'!$F$20+(N('Player Data'!AH93)&gt;='Model Settings'!$E$21)*'Model Settings'!$F$21+(N('Player Data'!AX93)&gt;='Model Settings'!$E$22)*'Model Settings'!$F$22+(N('Player Data'!Y93)&gt;='Model Settings'!$E$23)*'Model Settings'!$F$23+(N('Player Data'!AM93)&gt;='Model Settings'!$E$24)*'Model Settings'!$F$24)/('Model Settings'!$F$19+'Model Settings'!$F$20+'Model Settings'!$F$21+'Model Settings'!$F$22+'Model Settings'!$F$23+'Model Settings'!$F$24),0),"n/a")</f>
        <v>n/a</v>
      </c>
      <c r="D93" s="50" t="n">
        <f aca="false">ROUND(100*((N('Player Data'!U93)&gt;='Model Settings'!$E$25)*'Model Settings'!$F$25+(N('Player Data'!V93)&gt;='Model Settings'!$E$26)*'Model Settings'!$F$26+(N('Player Data'!W93)&gt;='Model Settings'!$E$27)*'Model Settings'!$F$27+(N('Player Data'!AT93)&gt;='Model Settings'!$E$28)*'Model Settings'!$F$28+(N('Player Data'!AE93)&gt;='Model Settings'!$E$29)*'Model Settings'!$F$29+(N('Player Data'!AO93)&gt;='Model Settings'!$E$30)*'Model Settings'!$F$30+(N('Player Data'!AG93)&gt;='Model Settings'!$E$31)*'Model Settings'!$F$31)/('Model Settings'!$F$25+'Model Settings'!$F$26+'Model Settings'!$F$27+'Model Settings'!$F$28+'Model Settings'!$F$29+'Model Settings'!$F$30+'Model Settings'!$F$31),0)</f>
        <v>0</v>
      </c>
      <c r="E93" s="50" t="n">
        <f aca="false">ROUND(100*((N('Player Data'!Z93)&gt;='Model Settings'!$E$32)*'Model Settings'!$F$32+(N('Player Data'!BN93)&gt;='Model Settings'!$E$33)*'Model Settings'!$F$33+(N('Player Data'!BO93)&gt;='Model Settings'!$E$34)*'Model Settings'!$F$34+(N('Player Data'!BP93)&gt;='Model Settings'!$E$35)*'Model Settings'!$F$35+('Player Data'!BR93='Model Settings'!$E$36)*'Model Settings'!$F$36+(N('Player Data'!AW93)&gt;='Model Settings'!$E$37)*'Model Settings'!$F$37+(N('Player Data'!AF93)&lt;='Model Settings'!$E$38)*'Model Settings'!$F$38)/('Model Settings'!$F$32+'Model Settings'!$F$33+'Model Settings'!$F$34+'Model Settings'!$F$35+'Model Settings'!$F$36+'Model Settings'!$F$37+'Model Settings'!$F$38),0)</f>
        <v>14</v>
      </c>
      <c r="F93" s="50" t="n">
        <f aca="false">ROUND(100*((N('Player Data'!K93)&gt;='Model Settings'!$E$39)*'Model Settings'!$F$39+(N('Player Data'!P93)&gt;='Model Settings'!$E$40)*'Model Settings'!$F$40+(N('Player Data'!M93)&gt;='Model Settings'!$E$41)*'Model Settings'!$F$41+(N('Player Data'!AU93)&gt;='Model Settings'!$E$42)*'Model Settings'!$F$42+(N('Player Data'!CL93)&gt;='Model Settings'!$E$43)*'Model Settings'!$F$43+(N('Player Data'!Q93)&gt;='Model Settings'!$E$44)*'Model Settings'!$F$44)/('Model Settings'!$F$39+'Model Settings'!$F$40+'Model Settings'!$F$41+'Model Settings'!$F$42+'Model Settings'!$F$43+'Model Settings'!$F$44),0)</f>
        <v>0</v>
      </c>
      <c r="G93" s="50" t="n">
        <f aca="false">ROUND(100*((N('Player Data'!BE93)&gt;='Model Settings'!$E$45)*'Model Settings'!$F$45+(N('Player Data'!BH93)&gt;='Model Settings'!$E$46)*'Model Settings'!$F$46+(N('Player Data'!U93)&gt;='Model Settings'!$E$47)*'Model Settings'!$F$47+(N('Player Data'!BN93)&gt;='Model Settings'!$E$48)*'Model Settings'!$F$48+(N('Player Data'!AX93)&gt;='Model Settings'!$E$49)*'Model Settings'!$F$49+(N('Player Data'!BL93)&gt;='Model Settings'!$E$50)*'Model Settings'!$F$50+(N('Player Data'!BI93)&gt;='Model Settings'!$E$51)*'Model Settings'!$F$51)/('Model Settings'!$F$45+'Model Settings'!$F$46+'Model Settings'!$F$47+'Model Settings'!$F$48+'Model Settings'!$F$49+'Model Settings'!$F$50+'Model Settings'!$F$51),0)</f>
        <v>0</v>
      </c>
      <c r="H93" s="34" t="str">
        <f aca="false">IF(AND(B93&lt;'Model Settings'!$E$66,E93&lt;'Model Settings'!$E$68),"Non-problem",IF(E93&gt;='Model Settings'!$E$68,"Financially vulnerable",IF(OR(N('Player Data'!BY93)&gt;=1,N('Player Data'!BX93)&gt;=2,N('Player Data'!BW93)&gt;=3),"Emotionally vulnerable","At-risk")))</f>
        <v>Non-problem</v>
      </c>
      <c r="I93" s="34" t="str">
        <f aca="false">IF(OR(N('Player Data'!BY93)&gt;=1,'Player Data'!BZ93="Yes"),"Alert","None")</f>
        <v>None</v>
      </c>
      <c r="J93" s="34" t="str">
        <f aca="false">IF(OR(B93&gt;='Model Settings'!$E$67,'Player Data'!BM93="Yes",I93="Alert"),"Suppress",IF(AND(B93&gt;='Model Settings'!$E$66,'Player Data'!G93="Yes"),"Review VIP","Allow"))</f>
        <v>Allow</v>
      </c>
      <c r="K93" s="50" t="n">
        <f aca="false">ROUND(100*((N('Player Data'!CH93)&gt;='Model Settings'!$E$52)*'Model Settings'!$F$52+(N('Player Data'!CI93)&gt;='Model Settings'!$E$53)*'Model Settings'!$F$53+(N('Player Data'!R93)&gt;='Model Settings'!$E$54)*'Model Settings'!$F$54+(N('Player Data'!Y93)&gt;='Model Settings'!$E$55)*'Model Settings'!$F$55+(N('Player Data'!AS93)&gt;='Model Settings'!$E$56)*'Model Settings'!$F$56)/('Model Settings'!$F$52+'Model Settings'!$F$53+'Model Settings'!$F$54+'Model Settings'!$F$55+'Model Settings'!$F$56),0)</f>
        <v>0</v>
      </c>
      <c r="L93" s="34" t="str">
        <f aca="false">IF('Player Data'!D93="Spain",ROUND(100*((N('Player Data'!H93)&gt;='Model Settings'!$E$57)*'Model Settings'!$F$57+(N('Player Data'!AI93)&gt;='Model Settings'!$E$58)*'Model Settings'!$F$58+(N('Player Data'!AL93)&gt;='Model Settings'!$E$59)*'Model Settings'!$F$59+(N('Player Data'!M93)&gt;='Model Settings'!$E$60)*'Model Settings'!$F$60+(N('Player Data'!X93)&lt;='Model Settings'!$E$61)*'Model Settings'!$F$61+(N('Player Data'!Y93)&gt;='Model Settings'!$E$62)*'Model Settings'!$F$62+(N('Player Data'!P93)&gt;='Model Settings'!$E$63)*'Model Settings'!$F$63)/('Model Settings'!$F$57+'Model Settings'!$F$58+'Model Settings'!$F$59+'Model Settings'!$F$60+'Model Settings'!$F$61+'Model Settings'!$F$62+'Model Settings'!$F$63),0),"n/a")</f>
        <v>n/a</v>
      </c>
      <c r="M93" s="34" t="str">
        <f aca="false">IF('Player Data'!CA93="None","No contact yet",IF('Player Data'!CA93="Improved","Working",IF('Player Data'!CA93="No change","Review approach","Escalate")))</f>
        <v>No contact yet</v>
      </c>
      <c r="N93" s="49" t="str">
        <f aca="false">IF(OR('Player Data'!BM93="Yes",I93="Alert"),"High",IF(B93&gt;='Model Settings'!$E$67,"High",IF(OR(B93&gt;='Model Settings'!$E$66,D93&gt;='Model Settings'!$E$68,F93&gt;='Model Settings'!$E$68,K93&gt;='Model Settings'!$E$68),"Medium","Low")))</f>
        <v>Low</v>
      </c>
      <c r="O93" s="34" t="str">
        <f aca="false">IF(N93="High","Contact player + review within 48h; stop marketing",IF(N93="Medium","Safer gambling message; monitor weekly","No action; routine monitoring"))</f>
        <v>No action; routine monitoring</v>
      </c>
      <c r="P93" s="34" t="n">
        <f aca="false">IF(OR(N93="High",AND('Model Settings'!$E$70="High+Medium",N93="Medium")),1,0)</f>
        <v>0</v>
      </c>
      <c r="Q93" s="34" t="n">
        <f aca="false">'Player Data'!CM93</f>
        <v>0</v>
      </c>
    </row>
    <row r="94" customFormat="false" ht="15" hidden="false" customHeight="false" outlineLevel="0" collapsed="false">
      <c r="A94" s="49" t="str">
        <f aca="false">'Player Data'!A94</f>
        <v>P089</v>
      </c>
      <c r="B94" s="50" t="n">
        <f aca="false">ROUND(100*((N('Player Data'!U94)&gt;='Model Settings'!$E$5)*'Model Settings'!$F$5+(N('Player Data'!AT94)&gt;='Model Settings'!$E$6)*'Model Settings'!$F$6+(N('Player Data'!BI94)&gt;='Model Settings'!$E$7)*'Model Settings'!$F$7+(N('Player Data'!AL94)&gt;='Model Settings'!$E$8)*'Model Settings'!$F$8+(N('Player Data'!AH94)&gt;='Model Settings'!$E$9)*'Model Settings'!$F$9+(N('Player Data'!B94)&lt;='Model Settings'!$E$10)*'Model Settings'!$F$10+(N('Player Data'!M94)&gt;='Model Settings'!$E$11)*'Model Settings'!$F$11+(N('Player Data'!J94)&lt;='Model Settings'!$E$12)*'Model Settings'!$F$12+(N('Player Data'!V94)&gt;='Model Settings'!$E$13)*'Model Settings'!$F$13+(N('Player Data'!W94)&gt;='Model Settings'!$E$14)*'Model Settings'!$F$14+(N('Player Data'!AE94)&gt;='Model Settings'!$E$15)*'Model Settings'!$F$15+(N('Player Data'!BF94)&gt;='Model Settings'!$E$16)*'Model Settings'!$F$16+(N('Player Data'!AX94)&gt;='Model Settings'!$E$17)*'Model Settings'!$F$17+(N('Player Data'!AP94)&gt;='Model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63</v>
      </c>
      <c r="C94" s="34" t="str">
        <f aca="false">IF('Player Data'!E94&lt;='Model Settings'!$E$69,ROUND(100*((N('Player Data'!H94)&gt;='Model Settings'!$E$19)*'Model Settings'!$F$19+(N('Player Data'!S94)&gt;='Model Settings'!$E$20)*'Model Settings'!$F$20+(N('Player Data'!AH94)&gt;='Model Settings'!$E$21)*'Model Settings'!$F$21+(N('Player Data'!AX94)&gt;='Model Settings'!$E$22)*'Model Settings'!$F$22+(N('Player Data'!Y94)&gt;='Model Settings'!$E$23)*'Model Settings'!$F$23+(N('Player Data'!AM94)&gt;='Model Settings'!$E$24)*'Model Settings'!$F$24)/('Model Settings'!$F$19+'Model Settings'!$F$20+'Model Settings'!$F$21+'Model Settings'!$F$22+'Model Settings'!$F$23+'Model Settings'!$F$24),0),"n/a")</f>
        <v>n/a</v>
      </c>
      <c r="D94" s="50" t="n">
        <f aca="false">ROUND(100*((N('Player Data'!U94)&gt;='Model Settings'!$E$25)*'Model Settings'!$F$25+(N('Player Data'!V94)&gt;='Model Settings'!$E$26)*'Model Settings'!$F$26+(N('Player Data'!W94)&gt;='Model Settings'!$E$27)*'Model Settings'!$F$27+(N('Player Data'!AT94)&gt;='Model Settings'!$E$28)*'Model Settings'!$F$28+(N('Player Data'!AE94)&gt;='Model Settings'!$E$29)*'Model Settings'!$F$29+(N('Player Data'!AO94)&gt;='Model Settings'!$E$30)*'Model Settings'!$F$30+(N('Player Data'!AG94)&gt;='Model Settings'!$E$31)*'Model Settings'!$F$31)/('Model Settings'!$F$25+'Model Settings'!$F$26+'Model Settings'!$F$27+'Model Settings'!$F$28+'Model Settings'!$F$29+'Model Settings'!$F$30+'Model Settings'!$F$31),0)</f>
        <v>86</v>
      </c>
      <c r="E94" s="50" t="n">
        <f aca="false">ROUND(100*((N('Player Data'!Z94)&gt;='Model Settings'!$E$32)*'Model Settings'!$F$32+(N('Player Data'!BN94)&gt;='Model Settings'!$E$33)*'Model Settings'!$F$33+(N('Player Data'!BO94)&gt;='Model Settings'!$E$34)*'Model Settings'!$F$34+(N('Player Data'!BP94)&gt;='Model Settings'!$E$35)*'Model Settings'!$F$35+('Player Data'!BR94='Model Settings'!$E$36)*'Model Settings'!$F$36+(N('Player Data'!AW94)&gt;='Model Settings'!$E$37)*'Model Settings'!$F$37+(N('Player Data'!AF94)&lt;='Model Settings'!$E$38)*'Model Settings'!$F$38)/('Model Settings'!$F$32+'Model Settings'!$F$33+'Model Settings'!$F$34+'Model Settings'!$F$35+'Model Settings'!$F$36+'Model Settings'!$F$37+'Model Settings'!$F$38),0)</f>
        <v>43</v>
      </c>
      <c r="F94" s="50" t="n">
        <f aca="false">ROUND(100*((N('Player Data'!K94)&gt;='Model Settings'!$E$39)*'Model Settings'!$F$39+(N('Player Data'!P94)&gt;='Model Settings'!$E$40)*'Model Settings'!$F$40+(N('Player Data'!M94)&gt;='Model Settings'!$E$41)*'Model Settings'!$F$41+(N('Player Data'!AU94)&gt;='Model Settings'!$E$42)*'Model Settings'!$F$42+(N('Player Data'!CL94)&gt;='Model Settings'!$E$43)*'Model Settings'!$F$43+(N('Player Data'!Q94)&gt;='Model Settings'!$E$44)*'Model Settings'!$F$44)/('Model Settings'!$F$39+'Model Settings'!$F$40+'Model Settings'!$F$41+'Model Settings'!$F$42+'Model Settings'!$F$43+'Model Settings'!$F$44),0)</f>
        <v>83</v>
      </c>
      <c r="G94" s="50" t="n">
        <f aca="false">ROUND(100*((N('Player Data'!BE94)&gt;='Model Settings'!$E$45)*'Model Settings'!$F$45+(N('Player Data'!BH94)&gt;='Model Settings'!$E$46)*'Model Settings'!$F$46+(N('Player Data'!U94)&gt;='Model Settings'!$E$47)*'Model Settings'!$F$47+(N('Player Data'!BN94)&gt;='Model Settings'!$E$48)*'Model Settings'!$F$48+(N('Player Data'!AX94)&gt;='Model Settings'!$E$49)*'Model Settings'!$F$49+(N('Player Data'!BL94)&gt;='Model Settings'!$E$50)*'Model Settings'!$F$50+(N('Player Data'!BI94)&gt;='Model Settings'!$E$51)*'Model Settings'!$F$51)/('Model Settings'!$F$45+'Model Settings'!$F$46+'Model Settings'!$F$47+'Model Settings'!$F$48+'Model Settings'!$F$49+'Model Settings'!$F$50+'Model Settings'!$F$51),0)</f>
        <v>71</v>
      </c>
      <c r="H94" s="34" t="str">
        <f aca="false">IF(AND(B94&lt;'Model Settings'!$E$66,E94&lt;'Model Settings'!$E$68),"Non-problem",IF(E94&gt;='Model Settings'!$E$68,"Financially vulnerable",IF(OR(N('Player Data'!BY94)&gt;=1,N('Player Data'!BX94)&gt;=2,N('Player Data'!BW94)&gt;=3),"Emotionally vulnerable","At-risk")))</f>
        <v>Emotionally vulnerable</v>
      </c>
      <c r="I94" s="34" t="str">
        <f aca="false">IF(OR(N('Player Data'!BY94)&gt;=1,'Player Data'!BZ94="Yes"),"Alert","None")</f>
        <v>Alert</v>
      </c>
      <c r="J94" s="34" t="str">
        <f aca="false">IF(OR(B94&gt;='Model Settings'!$E$67,'Player Data'!BM94="Yes",I94="Alert"),"Suppress",IF(AND(B94&gt;='Model Settings'!$E$66,'Player Data'!G94="Yes"),"Review VIP","Allow"))</f>
        <v>Suppress</v>
      </c>
      <c r="K94" s="50" t="n">
        <f aca="false">ROUND(100*((N('Player Data'!CH94)&gt;='Model Settings'!$E$52)*'Model Settings'!$F$52+(N('Player Data'!CI94)&gt;='Model Settings'!$E$53)*'Model Settings'!$F$53+(N('Player Data'!R94)&gt;='Model Settings'!$E$54)*'Model Settings'!$F$54+(N('Player Data'!Y94)&gt;='Model Settings'!$E$55)*'Model Settings'!$F$55+(N('Player Data'!AS94)&gt;='Model Settings'!$E$56)*'Model Settings'!$F$56)/('Model Settings'!$F$52+'Model Settings'!$F$53+'Model Settings'!$F$54+'Model Settings'!$F$55+'Model Settings'!$F$56),0)</f>
        <v>60</v>
      </c>
      <c r="L94" s="34" t="str">
        <f aca="false">IF('Player Data'!D94="Spain",ROUND(100*((N('Player Data'!H94)&gt;='Model Settings'!$E$57)*'Model Settings'!$F$57+(N('Player Data'!AI94)&gt;='Model Settings'!$E$58)*'Model Settings'!$F$58+(N('Player Data'!AL94)&gt;='Model Settings'!$E$59)*'Model Settings'!$F$59+(N('Player Data'!M94)&gt;='Model Settings'!$E$60)*'Model Settings'!$F$60+(N('Player Data'!X94)&lt;='Model Settings'!$E$61)*'Model Settings'!$F$61+(N('Player Data'!Y94)&gt;='Model Settings'!$E$62)*'Model Settings'!$F$62+(N('Player Data'!P94)&gt;='Model Settings'!$E$63)*'Model Settings'!$F$63)/('Model Settings'!$F$57+'Model Settings'!$F$58+'Model Settings'!$F$59+'Model Settings'!$F$60+'Model Settings'!$F$61+'Model Settings'!$F$62+'Model Settings'!$F$63),0),"n/a")</f>
        <v>n/a</v>
      </c>
      <c r="M94" s="34" t="str">
        <f aca="false">IF('Player Data'!CA94="None","No contact yet",IF('Player Data'!CA94="Improved","Working",IF('Player Data'!CA94="No change","Review approach","Escalate")))</f>
        <v>Review approach</v>
      </c>
      <c r="N94" s="49" t="str">
        <f aca="false">IF(OR('Player Data'!BM94="Yes",I94="Alert"),"High",IF(B94&gt;='Model Settings'!$E$67,"High",IF(OR(B94&gt;='Model Settings'!$E$66,D94&gt;='Model Settings'!$E$68,F94&gt;='Model Settings'!$E$68,K94&gt;='Model Settings'!$E$68),"Medium","Low")))</f>
        <v>High</v>
      </c>
      <c r="O94" s="34" t="str">
        <f aca="false">IF(N94="High","Contact player + review within 48h; stop marketing",IF(N94="Medium","Safer gambling message; monitor weekly","No action; routine monitoring"))</f>
        <v>Contact player + review within 48h; stop marketing</v>
      </c>
      <c r="P94" s="34" t="n">
        <f aca="false">IF(OR(N94="High",AND('Model Settings'!$E$70="High+Medium",N94="Medium")),1,0)</f>
        <v>1</v>
      </c>
      <c r="Q94" s="34" t="n">
        <f aca="false">'Player Data'!CM94</f>
        <v>1</v>
      </c>
    </row>
    <row r="95" customFormat="false" ht="15" hidden="false" customHeight="false" outlineLevel="0" collapsed="false">
      <c r="A95" s="49" t="str">
        <f aca="false">'Player Data'!A95</f>
        <v>P090</v>
      </c>
      <c r="B95" s="50" t="n">
        <f aca="false">ROUND(100*((N('Player Data'!U95)&gt;='Model Settings'!$E$5)*'Model Settings'!$F$5+(N('Player Data'!AT95)&gt;='Model Settings'!$E$6)*'Model Settings'!$F$6+(N('Player Data'!BI95)&gt;='Model Settings'!$E$7)*'Model Settings'!$F$7+(N('Player Data'!AL95)&gt;='Model Settings'!$E$8)*'Model Settings'!$F$8+(N('Player Data'!AH95)&gt;='Model Settings'!$E$9)*'Model Settings'!$F$9+(N('Player Data'!B95)&lt;='Model Settings'!$E$10)*'Model Settings'!$F$10+(N('Player Data'!M95)&gt;='Model Settings'!$E$11)*'Model Settings'!$F$11+(N('Player Data'!J95)&lt;='Model Settings'!$E$12)*'Model Settings'!$F$12+(N('Player Data'!V95)&gt;='Model Settings'!$E$13)*'Model Settings'!$F$13+(N('Player Data'!W95)&gt;='Model Settings'!$E$14)*'Model Settings'!$F$14+(N('Player Data'!AE95)&gt;='Model Settings'!$E$15)*'Model Settings'!$F$15+(N('Player Data'!BF95)&gt;='Model Settings'!$E$16)*'Model Settings'!$F$16+(N('Player Data'!AX95)&gt;='Model Settings'!$E$17)*'Model Settings'!$F$17+(N('Player Data'!AP95)&gt;='Model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48</v>
      </c>
      <c r="C95" s="34" t="str">
        <f aca="false">IF('Player Data'!E95&lt;='Model Settings'!$E$69,ROUND(100*((N('Player Data'!H95)&gt;='Model Settings'!$E$19)*'Model Settings'!$F$19+(N('Player Data'!S95)&gt;='Model Settings'!$E$20)*'Model Settings'!$F$20+(N('Player Data'!AH95)&gt;='Model Settings'!$E$21)*'Model Settings'!$F$21+(N('Player Data'!AX95)&gt;='Model Settings'!$E$22)*'Model Settings'!$F$22+(N('Player Data'!Y95)&gt;='Model Settings'!$E$23)*'Model Settings'!$F$23+(N('Player Data'!AM95)&gt;='Model Settings'!$E$24)*'Model Settings'!$F$24)/('Model Settings'!$F$19+'Model Settings'!$F$20+'Model Settings'!$F$21+'Model Settings'!$F$22+'Model Settings'!$F$23+'Model Settings'!$F$24),0),"n/a")</f>
        <v>n/a</v>
      </c>
      <c r="D95" s="50" t="n">
        <f aca="false">ROUND(100*((N('Player Data'!U95)&gt;='Model Settings'!$E$25)*'Model Settings'!$F$25+(N('Player Data'!V95)&gt;='Model Settings'!$E$26)*'Model Settings'!$F$26+(N('Player Data'!W95)&gt;='Model Settings'!$E$27)*'Model Settings'!$F$27+(N('Player Data'!AT95)&gt;='Model Settings'!$E$28)*'Model Settings'!$F$28+(N('Player Data'!AE95)&gt;='Model Settings'!$E$29)*'Model Settings'!$F$29+(N('Player Data'!AO95)&gt;='Model Settings'!$E$30)*'Model Settings'!$F$30+(N('Player Data'!AG95)&gt;='Model Settings'!$E$31)*'Model Settings'!$F$31)/('Model Settings'!$F$25+'Model Settings'!$F$26+'Model Settings'!$F$27+'Model Settings'!$F$28+'Model Settings'!$F$29+'Model Settings'!$F$30+'Model Settings'!$F$31),0)</f>
        <v>43</v>
      </c>
      <c r="E95" s="50" t="n">
        <f aca="false">ROUND(100*((N('Player Data'!Z95)&gt;='Model Settings'!$E$32)*'Model Settings'!$F$32+(N('Player Data'!BN95)&gt;='Model Settings'!$E$33)*'Model Settings'!$F$33+(N('Player Data'!BO95)&gt;='Model Settings'!$E$34)*'Model Settings'!$F$34+(N('Player Data'!BP95)&gt;='Model Settings'!$E$35)*'Model Settings'!$F$35+('Player Data'!BR95='Model Settings'!$E$36)*'Model Settings'!$F$36+(N('Player Data'!AW95)&gt;='Model Settings'!$E$37)*'Model Settings'!$F$37+(N('Player Data'!AF95)&lt;='Model Settings'!$E$38)*'Model Settings'!$F$38)/('Model Settings'!$F$32+'Model Settings'!$F$33+'Model Settings'!$F$34+'Model Settings'!$F$35+'Model Settings'!$F$36+'Model Settings'!$F$37+'Model Settings'!$F$38),0)</f>
        <v>14</v>
      </c>
      <c r="F95" s="50" t="n">
        <f aca="false">ROUND(100*((N('Player Data'!K95)&gt;='Model Settings'!$E$39)*'Model Settings'!$F$39+(N('Player Data'!P95)&gt;='Model Settings'!$E$40)*'Model Settings'!$F$40+(N('Player Data'!M95)&gt;='Model Settings'!$E$41)*'Model Settings'!$F$41+(N('Player Data'!AU95)&gt;='Model Settings'!$E$42)*'Model Settings'!$F$42+(N('Player Data'!CL95)&gt;='Model Settings'!$E$43)*'Model Settings'!$F$43+(N('Player Data'!Q95)&gt;='Model Settings'!$E$44)*'Model Settings'!$F$44)/('Model Settings'!$F$39+'Model Settings'!$F$40+'Model Settings'!$F$41+'Model Settings'!$F$42+'Model Settings'!$F$43+'Model Settings'!$F$44),0)</f>
        <v>50</v>
      </c>
      <c r="G95" s="50" t="n">
        <f aca="false">ROUND(100*((N('Player Data'!BE95)&gt;='Model Settings'!$E$45)*'Model Settings'!$F$45+(N('Player Data'!BH95)&gt;='Model Settings'!$E$46)*'Model Settings'!$F$46+(N('Player Data'!U95)&gt;='Model Settings'!$E$47)*'Model Settings'!$F$47+(N('Player Data'!BN95)&gt;='Model Settings'!$E$48)*'Model Settings'!$F$48+(N('Player Data'!AX95)&gt;='Model Settings'!$E$49)*'Model Settings'!$F$49+(N('Player Data'!BL95)&gt;='Model Settings'!$E$50)*'Model Settings'!$F$50+(N('Player Data'!BI95)&gt;='Model Settings'!$E$51)*'Model Settings'!$F$51)/('Model Settings'!$F$45+'Model Settings'!$F$46+'Model Settings'!$F$47+'Model Settings'!$F$48+'Model Settings'!$F$49+'Model Settings'!$F$50+'Model Settings'!$F$51),0)</f>
        <v>43</v>
      </c>
      <c r="H95" s="34" t="str">
        <f aca="false">IF(AND(B95&lt;'Model Settings'!$E$66,E95&lt;'Model Settings'!$E$68),"Non-problem",IF(E95&gt;='Model Settings'!$E$68,"Financially vulnerable",IF(OR(N('Player Data'!BY95)&gt;=1,N('Player Data'!BX95)&gt;=2,N('Player Data'!BW95)&gt;=3),"Emotionally vulnerable","At-risk")))</f>
        <v>At-risk</v>
      </c>
      <c r="I95" s="34" t="str">
        <f aca="false">IF(OR(N('Player Data'!BY95)&gt;=1,'Player Data'!BZ95="Yes"),"Alert","None")</f>
        <v>None</v>
      </c>
      <c r="J95" s="34" t="str">
        <f aca="false">IF(OR(B95&gt;='Model Settings'!$E$67,'Player Data'!BM95="Yes",I95="Alert"),"Suppress",IF(AND(B95&gt;='Model Settings'!$E$66,'Player Data'!G95="Yes"),"Review VIP","Allow"))</f>
        <v>Suppress</v>
      </c>
      <c r="K95" s="50" t="n">
        <f aca="false">ROUND(100*((N('Player Data'!CH95)&gt;='Model Settings'!$E$52)*'Model Settings'!$F$52+(N('Player Data'!CI95)&gt;='Model Settings'!$E$53)*'Model Settings'!$F$53+(N('Player Data'!R95)&gt;='Model Settings'!$E$54)*'Model Settings'!$F$54+(N('Player Data'!Y95)&gt;='Model Settings'!$E$55)*'Model Settings'!$F$55+(N('Player Data'!AS95)&gt;='Model Settings'!$E$56)*'Model Settings'!$F$56)/('Model Settings'!$F$52+'Model Settings'!$F$53+'Model Settings'!$F$54+'Model Settings'!$F$55+'Model Settings'!$F$56),0)</f>
        <v>40</v>
      </c>
      <c r="L95" s="34" t="str">
        <f aca="false">IF('Player Data'!D95="Spain",ROUND(100*((N('Player Data'!H95)&gt;='Model Settings'!$E$57)*'Model Settings'!$F$57+(N('Player Data'!AI95)&gt;='Model Settings'!$E$58)*'Model Settings'!$F$58+(N('Player Data'!AL95)&gt;='Model Settings'!$E$59)*'Model Settings'!$F$59+(N('Player Data'!M95)&gt;='Model Settings'!$E$60)*'Model Settings'!$F$60+(N('Player Data'!X95)&lt;='Model Settings'!$E$61)*'Model Settings'!$F$61+(N('Player Data'!Y95)&gt;='Model Settings'!$E$62)*'Model Settings'!$F$62+(N('Player Data'!P95)&gt;='Model Settings'!$E$63)*'Model Settings'!$F$63)/('Model Settings'!$F$57+'Model Settings'!$F$58+'Model Settings'!$F$59+'Model Settings'!$F$60+'Model Settings'!$F$61+'Model Settings'!$F$62+'Model Settings'!$F$63),0),"n/a")</f>
        <v>n/a</v>
      </c>
      <c r="M95" s="34" t="str">
        <f aca="false">IF('Player Data'!CA95="None","No contact yet",IF('Player Data'!CA95="Improved","Working",IF('Player Data'!CA95="No change","Review approach","Escalate")))</f>
        <v>Working</v>
      </c>
      <c r="N95" s="49" t="str">
        <f aca="false">IF(OR('Player Data'!BM95="Yes",I95="Alert"),"High",IF(B95&gt;='Model Settings'!$E$67,"High",IF(OR(B95&gt;='Model Settings'!$E$66,D95&gt;='Model Settings'!$E$68,F95&gt;='Model Settings'!$E$68,K95&gt;='Model Settings'!$E$68),"Medium","Low")))</f>
        <v>High</v>
      </c>
      <c r="O95" s="34" t="str">
        <f aca="false">IF(N95="High","Contact player + review within 48h; stop marketing",IF(N95="Medium","Safer gambling message; monitor weekly","No action; routine monitoring"))</f>
        <v>Contact player + review within 48h; stop marketing</v>
      </c>
      <c r="P95" s="34" t="n">
        <f aca="false">IF(OR(N95="High",AND('Model Settings'!$E$70="High+Medium",N95="Medium")),1,0)</f>
        <v>1</v>
      </c>
      <c r="Q95" s="34" t="n">
        <f aca="false">'Player Data'!CM95</f>
        <v>0</v>
      </c>
    </row>
    <row r="96" customFormat="false" ht="15" hidden="false" customHeight="false" outlineLevel="0" collapsed="false">
      <c r="A96" s="49" t="str">
        <f aca="false">'Player Data'!A96</f>
        <v>P091</v>
      </c>
      <c r="B96" s="50" t="n">
        <f aca="false">ROUND(100*((N('Player Data'!U96)&gt;='Model Settings'!$E$5)*'Model Settings'!$F$5+(N('Player Data'!AT96)&gt;='Model Settings'!$E$6)*'Model Settings'!$F$6+(N('Player Data'!BI96)&gt;='Model Settings'!$E$7)*'Model Settings'!$F$7+(N('Player Data'!AL96)&gt;='Model Settings'!$E$8)*'Model Settings'!$F$8+(N('Player Data'!AH96)&gt;='Model Settings'!$E$9)*'Model Settings'!$F$9+(N('Player Data'!B96)&lt;='Model Settings'!$E$10)*'Model Settings'!$F$10+(N('Player Data'!M96)&gt;='Model Settings'!$E$11)*'Model Settings'!$F$11+(N('Player Data'!J96)&lt;='Model Settings'!$E$12)*'Model Settings'!$F$12+(N('Player Data'!V96)&gt;='Model Settings'!$E$13)*'Model Settings'!$F$13+(N('Player Data'!W96)&gt;='Model Settings'!$E$14)*'Model Settings'!$F$14+(N('Player Data'!AE96)&gt;='Model Settings'!$E$15)*'Model Settings'!$F$15+(N('Player Data'!BF96)&gt;='Model Settings'!$E$16)*'Model Settings'!$F$16+(N('Player Data'!AX96)&gt;='Model Settings'!$E$17)*'Model Settings'!$F$17+(N('Player Data'!AP96)&gt;='Model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15</v>
      </c>
      <c r="C96" s="34" t="str">
        <f aca="false">IF('Player Data'!E96&lt;='Model Settings'!$E$69,ROUND(100*((N('Player Data'!H96)&gt;='Model Settings'!$E$19)*'Model Settings'!$F$19+(N('Player Data'!S96)&gt;='Model Settings'!$E$20)*'Model Settings'!$F$20+(N('Player Data'!AH96)&gt;='Model Settings'!$E$21)*'Model Settings'!$F$21+(N('Player Data'!AX96)&gt;='Model Settings'!$E$22)*'Model Settings'!$F$22+(N('Player Data'!Y96)&gt;='Model Settings'!$E$23)*'Model Settings'!$F$23+(N('Player Data'!AM96)&gt;='Model Settings'!$E$24)*'Model Settings'!$F$24)/('Model Settings'!$F$19+'Model Settings'!$F$20+'Model Settings'!$F$21+'Model Settings'!$F$22+'Model Settings'!$F$23+'Model Settings'!$F$24),0),"n/a")</f>
        <v>n/a</v>
      </c>
      <c r="D96" s="50" t="n">
        <f aca="false">ROUND(100*((N('Player Data'!U96)&gt;='Model Settings'!$E$25)*'Model Settings'!$F$25+(N('Player Data'!V96)&gt;='Model Settings'!$E$26)*'Model Settings'!$F$26+(N('Player Data'!W96)&gt;='Model Settings'!$E$27)*'Model Settings'!$F$27+(N('Player Data'!AT96)&gt;='Model Settings'!$E$28)*'Model Settings'!$F$28+(N('Player Data'!AE96)&gt;='Model Settings'!$E$29)*'Model Settings'!$F$29+(N('Player Data'!AO96)&gt;='Model Settings'!$E$30)*'Model Settings'!$F$30+(N('Player Data'!AG96)&gt;='Model Settings'!$E$31)*'Model Settings'!$F$31)/('Model Settings'!$F$25+'Model Settings'!$F$26+'Model Settings'!$F$27+'Model Settings'!$F$28+'Model Settings'!$F$29+'Model Settings'!$F$30+'Model Settings'!$F$31),0)</f>
        <v>0</v>
      </c>
      <c r="E96" s="50" t="n">
        <f aca="false">ROUND(100*((N('Player Data'!Z96)&gt;='Model Settings'!$E$32)*'Model Settings'!$F$32+(N('Player Data'!BN96)&gt;='Model Settings'!$E$33)*'Model Settings'!$F$33+(N('Player Data'!BO96)&gt;='Model Settings'!$E$34)*'Model Settings'!$F$34+(N('Player Data'!BP96)&gt;='Model Settings'!$E$35)*'Model Settings'!$F$35+('Player Data'!BR96='Model Settings'!$E$36)*'Model Settings'!$F$36+(N('Player Data'!AW96)&gt;='Model Settings'!$E$37)*'Model Settings'!$F$37+(N('Player Data'!AF96)&lt;='Model Settings'!$E$38)*'Model Settings'!$F$38)/('Model Settings'!$F$32+'Model Settings'!$F$33+'Model Settings'!$F$34+'Model Settings'!$F$35+'Model Settings'!$F$36+'Model Settings'!$F$37+'Model Settings'!$F$38),0)</f>
        <v>0</v>
      </c>
      <c r="F96" s="50" t="n">
        <f aca="false">ROUND(100*((N('Player Data'!K96)&gt;='Model Settings'!$E$39)*'Model Settings'!$F$39+(N('Player Data'!P96)&gt;='Model Settings'!$E$40)*'Model Settings'!$F$40+(N('Player Data'!M96)&gt;='Model Settings'!$E$41)*'Model Settings'!$F$41+(N('Player Data'!AU96)&gt;='Model Settings'!$E$42)*'Model Settings'!$F$42+(N('Player Data'!CL96)&gt;='Model Settings'!$E$43)*'Model Settings'!$F$43+(N('Player Data'!Q96)&gt;='Model Settings'!$E$44)*'Model Settings'!$F$44)/('Model Settings'!$F$39+'Model Settings'!$F$40+'Model Settings'!$F$41+'Model Settings'!$F$42+'Model Settings'!$F$43+'Model Settings'!$F$44),0)</f>
        <v>17</v>
      </c>
      <c r="G96" s="50" t="n">
        <f aca="false">ROUND(100*((N('Player Data'!BE96)&gt;='Model Settings'!$E$45)*'Model Settings'!$F$45+(N('Player Data'!BH96)&gt;='Model Settings'!$E$46)*'Model Settings'!$F$46+(N('Player Data'!U96)&gt;='Model Settings'!$E$47)*'Model Settings'!$F$47+(N('Player Data'!BN96)&gt;='Model Settings'!$E$48)*'Model Settings'!$F$48+(N('Player Data'!AX96)&gt;='Model Settings'!$E$49)*'Model Settings'!$F$49+(N('Player Data'!BL96)&gt;='Model Settings'!$E$50)*'Model Settings'!$F$50+(N('Player Data'!BI96)&gt;='Model Settings'!$E$51)*'Model Settings'!$F$51)/('Model Settings'!$F$45+'Model Settings'!$F$46+'Model Settings'!$F$47+'Model Settings'!$F$48+'Model Settings'!$F$49+'Model Settings'!$F$50+'Model Settings'!$F$51),0)</f>
        <v>0</v>
      </c>
      <c r="H96" s="34" t="str">
        <f aca="false">IF(AND(B96&lt;'Model Settings'!$E$66,E96&lt;'Model Settings'!$E$68),"Non-problem",IF(E96&gt;='Model Settings'!$E$68,"Financially vulnerable",IF(OR(N('Player Data'!BY96)&gt;=1,N('Player Data'!BX96)&gt;=2,N('Player Data'!BW96)&gt;=3),"Emotionally vulnerable","At-risk")))</f>
        <v>Non-problem</v>
      </c>
      <c r="I96" s="34" t="str">
        <f aca="false">IF(OR(N('Player Data'!BY96)&gt;=1,'Player Data'!BZ96="Yes"),"Alert","None")</f>
        <v>None</v>
      </c>
      <c r="J96" s="34" t="str">
        <f aca="false">IF(OR(B96&gt;='Model Settings'!$E$67,'Player Data'!BM96="Yes",I96="Alert"),"Suppress",IF(AND(B96&gt;='Model Settings'!$E$66,'Player Data'!G96="Yes"),"Review VIP","Allow"))</f>
        <v>Allow</v>
      </c>
      <c r="K96" s="50" t="n">
        <f aca="false">ROUND(100*((N('Player Data'!CH96)&gt;='Model Settings'!$E$52)*'Model Settings'!$F$52+(N('Player Data'!CI96)&gt;='Model Settings'!$E$53)*'Model Settings'!$F$53+(N('Player Data'!R96)&gt;='Model Settings'!$E$54)*'Model Settings'!$F$54+(N('Player Data'!Y96)&gt;='Model Settings'!$E$55)*'Model Settings'!$F$55+(N('Player Data'!AS96)&gt;='Model Settings'!$E$56)*'Model Settings'!$F$56)/('Model Settings'!$F$52+'Model Settings'!$F$53+'Model Settings'!$F$54+'Model Settings'!$F$55+'Model Settings'!$F$56),0)</f>
        <v>0</v>
      </c>
      <c r="L96" s="34" t="str">
        <f aca="false">IF('Player Data'!D96="Spain",ROUND(100*((N('Player Data'!H96)&gt;='Model Settings'!$E$57)*'Model Settings'!$F$57+(N('Player Data'!AI96)&gt;='Model Settings'!$E$58)*'Model Settings'!$F$58+(N('Player Data'!AL96)&gt;='Model Settings'!$E$59)*'Model Settings'!$F$59+(N('Player Data'!M96)&gt;='Model Settings'!$E$60)*'Model Settings'!$F$60+(N('Player Data'!X96)&lt;='Model Settings'!$E$61)*'Model Settings'!$F$61+(N('Player Data'!Y96)&gt;='Model Settings'!$E$62)*'Model Settings'!$F$62+(N('Player Data'!P96)&gt;='Model Settings'!$E$63)*'Model Settings'!$F$63)/('Model Settings'!$F$57+'Model Settings'!$F$58+'Model Settings'!$F$59+'Model Settings'!$F$60+'Model Settings'!$F$61+'Model Settings'!$F$62+'Model Settings'!$F$63),0),"n/a")</f>
        <v>n/a</v>
      </c>
      <c r="M96" s="34" t="str">
        <f aca="false">IF('Player Data'!CA96="None","No contact yet",IF('Player Data'!CA96="Improved","Working",IF('Player Data'!CA96="No change","Review approach","Escalate")))</f>
        <v>No contact yet</v>
      </c>
      <c r="N96" s="49" t="str">
        <f aca="false">IF(OR('Player Data'!BM96="Yes",I96="Alert"),"High",IF(B96&gt;='Model Settings'!$E$67,"High",IF(OR(B96&gt;='Model Settings'!$E$66,D96&gt;='Model Settings'!$E$68,F96&gt;='Model Settings'!$E$68,K96&gt;='Model Settings'!$E$68),"Medium","Low")))</f>
        <v>Low</v>
      </c>
      <c r="O96" s="34" t="str">
        <f aca="false">IF(N96="High","Contact player + review within 48h; stop marketing",IF(N96="Medium","Safer gambling message; monitor weekly","No action; routine monitoring"))</f>
        <v>No action; routine monitoring</v>
      </c>
      <c r="P96" s="34" t="n">
        <f aca="false">IF(OR(N96="High",AND('Model Settings'!$E$70="High+Medium",N96="Medium")),1,0)</f>
        <v>0</v>
      </c>
      <c r="Q96" s="34" t="n">
        <f aca="false">'Player Data'!CM96</f>
        <v>0</v>
      </c>
    </row>
    <row r="97" customFormat="false" ht="15" hidden="false" customHeight="false" outlineLevel="0" collapsed="false">
      <c r="A97" s="49" t="str">
        <f aca="false">'Player Data'!A97</f>
        <v>P092</v>
      </c>
      <c r="B97" s="50" t="n">
        <f aca="false">ROUND(100*((N('Player Data'!U97)&gt;='Model Settings'!$E$5)*'Model Settings'!$F$5+(N('Player Data'!AT97)&gt;='Model Settings'!$E$6)*'Model Settings'!$F$6+(N('Player Data'!BI97)&gt;='Model Settings'!$E$7)*'Model Settings'!$F$7+(N('Player Data'!AL97)&gt;='Model Settings'!$E$8)*'Model Settings'!$F$8+(N('Player Data'!AH97)&gt;='Model Settings'!$E$9)*'Model Settings'!$F$9+(N('Player Data'!B97)&lt;='Model Settings'!$E$10)*'Model Settings'!$F$10+(N('Player Data'!M97)&gt;='Model Settings'!$E$11)*'Model Settings'!$F$11+(N('Player Data'!J97)&lt;='Model Settings'!$E$12)*'Model Settings'!$F$12+(N('Player Data'!V97)&gt;='Model Settings'!$E$13)*'Model Settings'!$F$13+(N('Player Data'!W97)&gt;='Model Settings'!$E$14)*'Model Settings'!$F$14+(N('Player Data'!AE97)&gt;='Model Settings'!$E$15)*'Model Settings'!$F$15+(N('Player Data'!BF97)&gt;='Model Settings'!$E$16)*'Model Settings'!$F$16+(N('Player Data'!AX97)&gt;='Model Settings'!$E$17)*'Model Settings'!$F$17+(N('Player Data'!AP97)&gt;='Model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56</v>
      </c>
      <c r="C97" s="34" t="str">
        <f aca="false">IF('Player Data'!E97&lt;='Model Settings'!$E$69,ROUND(100*((N('Player Data'!H97)&gt;='Model Settings'!$E$19)*'Model Settings'!$F$19+(N('Player Data'!S97)&gt;='Model Settings'!$E$20)*'Model Settings'!$F$20+(N('Player Data'!AH97)&gt;='Model Settings'!$E$21)*'Model Settings'!$F$21+(N('Player Data'!AX97)&gt;='Model Settings'!$E$22)*'Model Settings'!$F$22+(N('Player Data'!Y97)&gt;='Model Settings'!$E$23)*'Model Settings'!$F$23+(N('Player Data'!AM97)&gt;='Model Settings'!$E$24)*'Model Settings'!$F$24)/('Model Settings'!$F$19+'Model Settings'!$F$20+'Model Settings'!$F$21+'Model Settings'!$F$22+'Model Settings'!$F$23+'Model Settings'!$F$24),0),"n/a")</f>
        <v>n/a</v>
      </c>
      <c r="D97" s="50" t="n">
        <f aca="false">ROUND(100*((N('Player Data'!U97)&gt;='Model Settings'!$E$25)*'Model Settings'!$F$25+(N('Player Data'!V97)&gt;='Model Settings'!$E$26)*'Model Settings'!$F$26+(N('Player Data'!W97)&gt;='Model Settings'!$E$27)*'Model Settings'!$F$27+(N('Player Data'!AT97)&gt;='Model Settings'!$E$28)*'Model Settings'!$F$28+(N('Player Data'!AE97)&gt;='Model Settings'!$E$29)*'Model Settings'!$F$29+(N('Player Data'!AO97)&gt;='Model Settings'!$E$30)*'Model Settings'!$F$30+(N('Player Data'!AG97)&gt;='Model Settings'!$E$31)*'Model Settings'!$F$31)/('Model Settings'!$F$25+'Model Settings'!$F$26+'Model Settings'!$F$27+'Model Settings'!$F$28+'Model Settings'!$F$29+'Model Settings'!$F$30+'Model Settings'!$F$31),0)</f>
        <v>57</v>
      </c>
      <c r="E97" s="50" t="n">
        <f aca="false">ROUND(100*((N('Player Data'!Z97)&gt;='Model Settings'!$E$32)*'Model Settings'!$F$32+(N('Player Data'!BN97)&gt;='Model Settings'!$E$33)*'Model Settings'!$F$33+(N('Player Data'!BO97)&gt;='Model Settings'!$E$34)*'Model Settings'!$F$34+(N('Player Data'!BP97)&gt;='Model Settings'!$E$35)*'Model Settings'!$F$35+('Player Data'!BR97='Model Settings'!$E$36)*'Model Settings'!$F$36+(N('Player Data'!AW97)&gt;='Model Settings'!$E$37)*'Model Settings'!$F$37+(N('Player Data'!AF97)&lt;='Model Settings'!$E$38)*'Model Settings'!$F$38)/('Model Settings'!$F$32+'Model Settings'!$F$33+'Model Settings'!$F$34+'Model Settings'!$F$35+'Model Settings'!$F$36+'Model Settings'!$F$37+'Model Settings'!$F$38),0)</f>
        <v>14</v>
      </c>
      <c r="F97" s="50" t="n">
        <f aca="false">ROUND(100*((N('Player Data'!K97)&gt;='Model Settings'!$E$39)*'Model Settings'!$F$39+(N('Player Data'!P97)&gt;='Model Settings'!$E$40)*'Model Settings'!$F$40+(N('Player Data'!M97)&gt;='Model Settings'!$E$41)*'Model Settings'!$F$41+(N('Player Data'!AU97)&gt;='Model Settings'!$E$42)*'Model Settings'!$F$42+(N('Player Data'!CL97)&gt;='Model Settings'!$E$43)*'Model Settings'!$F$43+(N('Player Data'!Q97)&gt;='Model Settings'!$E$44)*'Model Settings'!$F$44)/('Model Settings'!$F$39+'Model Settings'!$F$40+'Model Settings'!$F$41+'Model Settings'!$F$42+'Model Settings'!$F$43+'Model Settings'!$F$44),0)</f>
        <v>50</v>
      </c>
      <c r="G97" s="50" t="n">
        <f aca="false">ROUND(100*((N('Player Data'!BE97)&gt;='Model Settings'!$E$45)*'Model Settings'!$F$45+(N('Player Data'!BH97)&gt;='Model Settings'!$E$46)*'Model Settings'!$F$46+(N('Player Data'!U97)&gt;='Model Settings'!$E$47)*'Model Settings'!$F$47+(N('Player Data'!BN97)&gt;='Model Settings'!$E$48)*'Model Settings'!$F$48+(N('Player Data'!AX97)&gt;='Model Settings'!$E$49)*'Model Settings'!$F$49+(N('Player Data'!BL97)&gt;='Model Settings'!$E$50)*'Model Settings'!$F$50+(N('Player Data'!BI97)&gt;='Model Settings'!$E$51)*'Model Settings'!$F$51)/('Model Settings'!$F$45+'Model Settings'!$F$46+'Model Settings'!$F$47+'Model Settings'!$F$48+'Model Settings'!$F$49+'Model Settings'!$F$50+'Model Settings'!$F$51),0)</f>
        <v>43</v>
      </c>
      <c r="H97" s="34" t="str">
        <f aca="false">IF(AND(B97&lt;'Model Settings'!$E$66,E97&lt;'Model Settings'!$E$68),"Non-problem",IF(E97&gt;='Model Settings'!$E$68,"Financially vulnerable",IF(OR(N('Player Data'!BY97)&gt;=1,N('Player Data'!BX97)&gt;=2,N('Player Data'!BW97)&gt;=3),"Emotionally vulnerable","At-risk")))</f>
        <v>At-risk</v>
      </c>
      <c r="I97" s="34" t="str">
        <f aca="false">IF(OR(N('Player Data'!BY97)&gt;=1,'Player Data'!BZ97="Yes"),"Alert","None")</f>
        <v>None</v>
      </c>
      <c r="J97" s="34" t="str">
        <f aca="false">IF(OR(B97&gt;='Model Settings'!$E$67,'Player Data'!BM97="Yes",I97="Alert"),"Suppress",IF(AND(B97&gt;='Model Settings'!$E$66,'Player Data'!G97="Yes"),"Review VIP","Allow"))</f>
        <v>Suppress</v>
      </c>
      <c r="K97" s="50" t="n">
        <f aca="false">ROUND(100*((N('Player Data'!CH97)&gt;='Model Settings'!$E$52)*'Model Settings'!$F$52+(N('Player Data'!CI97)&gt;='Model Settings'!$E$53)*'Model Settings'!$F$53+(N('Player Data'!R97)&gt;='Model Settings'!$E$54)*'Model Settings'!$F$54+(N('Player Data'!Y97)&gt;='Model Settings'!$E$55)*'Model Settings'!$F$55+(N('Player Data'!AS97)&gt;='Model Settings'!$E$56)*'Model Settings'!$F$56)/('Model Settings'!$F$52+'Model Settings'!$F$53+'Model Settings'!$F$54+'Model Settings'!$F$55+'Model Settings'!$F$56),0)</f>
        <v>60</v>
      </c>
      <c r="L97" s="34" t="str">
        <f aca="false">IF('Player Data'!D97="Spain",ROUND(100*((N('Player Data'!H97)&gt;='Model Settings'!$E$57)*'Model Settings'!$F$57+(N('Player Data'!AI97)&gt;='Model Settings'!$E$58)*'Model Settings'!$F$58+(N('Player Data'!AL97)&gt;='Model Settings'!$E$59)*'Model Settings'!$F$59+(N('Player Data'!M97)&gt;='Model Settings'!$E$60)*'Model Settings'!$F$60+(N('Player Data'!X97)&lt;='Model Settings'!$E$61)*'Model Settings'!$F$61+(N('Player Data'!Y97)&gt;='Model Settings'!$E$62)*'Model Settings'!$F$62+(N('Player Data'!P97)&gt;='Model Settings'!$E$63)*'Model Settings'!$F$63)/('Model Settings'!$F$57+'Model Settings'!$F$58+'Model Settings'!$F$59+'Model Settings'!$F$60+'Model Settings'!$F$61+'Model Settings'!$F$62+'Model Settings'!$F$63),0),"n/a")</f>
        <v>n/a</v>
      </c>
      <c r="M97" s="34" t="str">
        <f aca="false">IF('Player Data'!CA97="None","No contact yet",IF('Player Data'!CA97="Improved","Working",IF('Player Data'!CA97="No change","Review approach","Escalate")))</f>
        <v>Escalate</v>
      </c>
      <c r="N97" s="49" t="str">
        <f aca="false">IF(OR('Player Data'!BM97="Yes",I97="Alert"),"High",IF(B97&gt;='Model Settings'!$E$67,"High",IF(OR(B97&gt;='Model Settings'!$E$66,D97&gt;='Model Settings'!$E$68,F97&gt;='Model Settings'!$E$68,K97&gt;='Model Settings'!$E$68),"Medium","Low")))</f>
        <v>High</v>
      </c>
      <c r="O97" s="34" t="str">
        <f aca="false">IF(N97="High","Contact player + review within 48h; stop marketing",IF(N97="Medium","Safer gambling message; monitor weekly","No action; routine monitoring"))</f>
        <v>Contact player + review within 48h; stop marketing</v>
      </c>
      <c r="P97" s="34" t="n">
        <f aca="false">IF(OR(N97="High",AND('Model Settings'!$E$70="High+Medium",N97="Medium")),1,0)</f>
        <v>1</v>
      </c>
      <c r="Q97" s="34" t="n">
        <f aca="false">'Player Data'!CM97</f>
        <v>0</v>
      </c>
    </row>
    <row r="98" customFormat="false" ht="15" hidden="false" customHeight="false" outlineLevel="0" collapsed="false">
      <c r="A98" s="49" t="str">
        <f aca="false">'Player Data'!A98</f>
        <v>P093</v>
      </c>
      <c r="B98" s="50" t="n">
        <f aca="false">ROUND(100*((N('Player Data'!U98)&gt;='Model Settings'!$E$5)*'Model Settings'!$F$5+(N('Player Data'!AT98)&gt;='Model Settings'!$E$6)*'Model Settings'!$F$6+(N('Player Data'!BI98)&gt;='Model Settings'!$E$7)*'Model Settings'!$F$7+(N('Player Data'!AL98)&gt;='Model Settings'!$E$8)*'Model Settings'!$F$8+(N('Player Data'!AH98)&gt;='Model Settings'!$E$9)*'Model Settings'!$F$9+(N('Player Data'!B98)&lt;='Model Settings'!$E$10)*'Model Settings'!$F$10+(N('Player Data'!M98)&gt;='Model Settings'!$E$11)*'Model Settings'!$F$11+(N('Player Data'!J98)&lt;='Model Settings'!$E$12)*'Model Settings'!$F$12+(N('Player Data'!V98)&gt;='Model Settings'!$E$13)*'Model Settings'!$F$13+(N('Player Data'!W98)&gt;='Model Settings'!$E$14)*'Model Settings'!$F$14+(N('Player Data'!AE98)&gt;='Model Settings'!$E$15)*'Model Settings'!$F$15+(N('Player Data'!BF98)&gt;='Model Settings'!$E$16)*'Model Settings'!$F$16+(N('Player Data'!AX98)&gt;='Model Settings'!$E$17)*'Model Settings'!$F$17+(N('Player Data'!AP98)&gt;='Model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98" s="34" t="str">
        <f aca="false">IF('Player Data'!E98&lt;='Model Settings'!$E$69,ROUND(100*((N('Player Data'!H98)&gt;='Model Settings'!$E$19)*'Model Settings'!$F$19+(N('Player Data'!S98)&gt;='Model Settings'!$E$20)*'Model Settings'!$F$20+(N('Player Data'!AH98)&gt;='Model Settings'!$E$21)*'Model Settings'!$F$21+(N('Player Data'!AX98)&gt;='Model Settings'!$E$22)*'Model Settings'!$F$22+(N('Player Data'!Y98)&gt;='Model Settings'!$E$23)*'Model Settings'!$F$23+(N('Player Data'!AM98)&gt;='Model Settings'!$E$24)*'Model Settings'!$F$24)/('Model Settings'!$F$19+'Model Settings'!$F$20+'Model Settings'!$F$21+'Model Settings'!$F$22+'Model Settings'!$F$23+'Model Settings'!$F$24),0),"n/a")</f>
        <v>n/a</v>
      </c>
      <c r="D98" s="50" t="n">
        <f aca="false">ROUND(100*((N('Player Data'!U98)&gt;='Model Settings'!$E$25)*'Model Settings'!$F$25+(N('Player Data'!V98)&gt;='Model Settings'!$E$26)*'Model Settings'!$F$26+(N('Player Data'!W98)&gt;='Model Settings'!$E$27)*'Model Settings'!$F$27+(N('Player Data'!AT98)&gt;='Model Settings'!$E$28)*'Model Settings'!$F$28+(N('Player Data'!AE98)&gt;='Model Settings'!$E$29)*'Model Settings'!$F$29+(N('Player Data'!AO98)&gt;='Model Settings'!$E$30)*'Model Settings'!$F$30+(N('Player Data'!AG98)&gt;='Model Settings'!$E$31)*'Model Settings'!$F$31)/('Model Settings'!$F$25+'Model Settings'!$F$26+'Model Settings'!$F$27+'Model Settings'!$F$28+'Model Settings'!$F$29+'Model Settings'!$F$30+'Model Settings'!$F$31),0)</f>
        <v>14</v>
      </c>
      <c r="E98" s="50" t="n">
        <f aca="false">ROUND(100*((N('Player Data'!Z98)&gt;='Model Settings'!$E$32)*'Model Settings'!$F$32+(N('Player Data'!BN98)&gt;='Model Settings'!$E$33)*'Model Settings'!$F$33+(N('Player Data'!BO98)&gt;='Model Settings'!$E$34)*'Model Settings'!$F$34+(N('Player Data'!BP98)&gt;='Model Settings'!$E$35)*'Model Settings'!$F$35+('Player Data'!BR98='Model Settings'!$E$36)*'Model Settings'!$F$36+(N('Player Data'!AW98)&gt;='Model Settings'!$E$37)*'Model Settings'!$F$37+(N('Player Data'!AF98)&lt;='Model Settings'!$E$38)*'Model Settings'!$F$38)/('Model Settings'!$F$32+'Model Settings'!$F$33+'Model Settings'!$F$34+'Model Settings'!$F$35+'Model Settings'!$F$36+'Model Settings'!$F$37+'Model Settings'!$F$38),0)</f>
        <v>0</v>
      </c>
      <c r="F98" s="50" t="n">
        <f aca="false">ROUND(100*((N('Player Data'!K98)&gt;='Model Settings'!$E$39)*'Model Settings'!$F$39+(N('Player Data'!P98)&gt;='Model Settings'!$E$40)*'Model Settings'!$F$40+(N('Player Data'!M98)&gt;='Model Settings'!$E$41)*'Model Settings'!$F$41+(N('Player Data'!AU98)&gt;='Model Settings'!$E$42)*'Model Settings'!$F$42+(N('Player Data'!CL98)&gt;='Model Settings'!$E$43)*'Model Settings'!$F$43+(N('Player Data'!Q98)&gt;='Model Settings'!$E$44)*'Model Settings'!$F$44)/('Model Settings'!$F$39+'Model Settings'!$F$40+'Model Settings'!$F$41+'Model Settings'!$F$42+'Model Settings'!$F$43+'Model Settings'!$F$44),0)</f>
        <v>0</v>
      </c>
      <c r="G98" s="50" t="n">
        <f aca="false">ROUND(100*((N('Player Data'!BE98)&gt;='Model Settings'!$E$45)*'Model Settings'!$F$45+(N('Player Data'!BH98)&gt;='Model Settings'!$E$46)*'Model Settings'!$F$46+(N('Player Data'!U98)&gt;='Model Settings'!$E$47)*'Model Settings'!$F$47+(N('Player Data'!BN98)&gt;='Model Settings'!$E$48)*'Model Settings'!$F$48+(N('Player Data'!AX98)&gt;='Model Settings'!$E$49)*'Model Settings'!$F$49+(N('Player Data'!BL98)&gt;='Model Settings'!$E$50)*'Model Settings'!$F$50+(N('Player Data'!BI98)&gt;='Model Settings'!$E$51)*'Model Settings'!$F$51)/('Model Settings'!$F$45+'Model Settings'!$F$46+'Model Settings'!$F$47+'Model Settings'!$F$48+'Model Settings'!$F$49+'Model Settings'!$F$50+'Model Settings'!$F$51),0)</f>
        <v>0</v>
      </c>
      <c r="H98" s="34" t="str">
        <f aca="false">IF(AND(B98&lt;'Model Settings'!$E$66,E98&lt;'Model Settings'!$E$68),"Non-problem",IF(E98&gt;='Model Settings'!$E$68,"Financially vulnerable",IF(OR(N('Player Data'!BY98)&gt;=1,N('Player Data'!BX98)&gt;=2,N('Player Data'!BW98)&gt;=3),"Emotionally vulnerable","At-risk")))</f>
        <v>Non-problem</v>
      </c>
      <c r="I98" s="34" t="str">
        <f aca="false">IF(OR(N('Player Data'!BY98)&gt;=1,'Player Data'!BZ98="Yes"),"Alert","None")</f>
        <v>None</v>
      </c>
      <c r="J98" s="34" t="str">
        <f aca="false">IF(OR(B98&gt;='Model Settings'!$E$67,'Player Data'!BM98="Yes",I98="Alert"),"Suppress",IF(AND(B98&gt;='Model Settings'!$E$66,'Player Data'!G98="Yes"),"Review VIP","Allow"))</f>
        <v>Allow</v>
      </c>
      <c r="K98" s="50" t="n">
        <f aca="false">ROUND(100*((N('Player Data'!CH98)&gt;='Model Settings'!$E$52)*'Model Settings'!$F$52+(N('Player Data'!CI98)&gt;='Model Settings'!$E$53)*'Model Settings'!$F$53+(N('Player Data'!R98)&gt;='Model Settings'!$E$54)*'Model Settings'!$F$54+(N('Player Data'!Y98)&gt;='Model Settings'!$E$55)*'Model Settings'!$F$55+(N('Player Data'!AS98)&gt;='Model Settings'!$E$56)*'Model Settings'!$F$56)/('Model Settings'!$F$52+'Model Settings'!$F$53+'Model Settings'!$F$54+'Model Settings'!$F$55+'Model Settings'!$F$56),0)</f>
        <v>20</v>
      </c>
      <c r="L98" s="34" t="str">
        <f aca="false">IF('Player Data'!D98="Spain",ROUND(100*((N('Player Data'!H98)&gt;='Model Settings'!$E$57)*'Model Settings'!$F$57+(N('Player Data'!AI98)&gt;='Model Settings'!$E$58)*'Model Settings'!$F$58+(N('Player Data'!AL98)&gt;='Model Settings'!$E$59)*'Model Settings'!$F$59+(N('Player Data'!M98)&gt;='Model Settings'!$E$60)*'Model Settings'!$F$60+(N('Player Data'!X98)&lt;='Model Settings'!$E$61)*'Model Settings'!$F$61+(N('Player Data'!Y98)&gt;='Model Settings'!$E$62)*'Model Settings'!$F$62+(N('Player Data'!P98)&gt;='Model Settings'!$E$63)*'Model Settings'!$F$63)/('Model Settings'!$F$57+'Model Settings'!$F$58+'Model Settings'!$F$59+'Model Settings'!$F$60+'Model Settings'!$F$61+'Model Settings'!$F$62+'Model Settings'!$F$63),0),"n/a")</f>
        <v>n/a</v>
      </c>
      <c r="M98" s="34" t="str">
        <f aca="false">IF('Player Data'!CA98="None","No contact yet",IF('Player Data'!CA98="Improved","Working",IF('Player Data'!CA98="No change","Review approach","Escalate")))</f>
        <v>No contact yet</v>
      </c>
      <c r="N98" s="49" t="str">
        <f aca="false">IF(OR('Player Data'!BM98="Yes",I98="Alert"),"High",IF(B98&gt;='Model Settings'!$E$67,"High",IF(OR(B98&gt;='Model Settings'!$E$66,D98&gt;='Model Settings'!$E$68,F98&gt;='Model Settings'!$E$68,K98&gt;='Model Settings'!$E$68),"Medium","Low")))</f>
        <v>Low</v>
      </c>
      <c r="O98" s="34" t="str">
        <f aca="false">IF(N98="High","Contact player + review within 48h; stop marketing",IF(N98="Medium","Safer gambling message; monitor weekly","No action; routine monitoring"))</f>
        <v>No action; routine monitoring</v>
      </c>
      <c r="P98" s="34" t="n">
        <f aca="false">IF(OR(N98="High",AND('Model Settings'!$E$70="High+Medium",N98="Medium")),1,0)</f>
        <v>0</v>
      </c>
      <c r="Q98" s="34" t="n">
        <f aca="false">'Player Data'!CM98</f>
        <v>0</v>
      </c>
    </row>
    <row r="99" customFormat="false" ht="15" hidden="false" customHeight="false" outlineLevel="0" collapsed="false">
      <c r="A99" s="49" t="str">
        <f aca="false">'Player Data'!A99</f>
        <v>P094</v>
      </c>
      <c r="B99" s="50" t="n">
        <f aca="false">ROUND(100*((N('Player Data'!U99)&gt;='Model Settings'!$E$5)*'Model Settings'!$F$5+(N('Player Data'!AT99)&gt;='Model Settings'!$E$6)*'Model Settings'!$F$6+(N('Player Data'!BI99)&gt;='Model Settings'!$E$7)*'Model Settings'!$F$7+(N('Player Data'!AL99)&gt;='Model Settings'!$E$8)*'Model Settings'!$F$8+(N('Player Data'!AH99)&gt;='Model Settings'!$E$9)*'Model Settings'!$F$9+(N('Player Data'!B99)&lt;='Model Settings'!$E$10)*'Model Settings'!$F$10+(N('Player Data'!M99)&gt;='Model Settings'!$E$11)*'Model Settings'!$F$11+(N('Player Data'!J99)&lt;='Model Settings'!$E$12)*'Model Settings'!$F$12+(N('Player Data'!V99)&gt;='Model Settings'!$E$13)*'Model Settings'!$F$13+(N('Player Data'!W99)&gt;='Model Settings'!$E$14)*'Model Settings'!$F$14+(N('Player Data'!AE99)&gt;='Model Settings'!$E$15)*'Model Settings'!$F$15+(N('Player Data'!BF99)&gt;='Model Settings'!$E$16)*'Model Settings'!$F$16+(N('Player Data'!AX99)&gt;='Model Settings'!$E$17)*'Model Settings'!$F$17+(N('Player Data'!AP99)&gt;='Model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52</v>
      </c>
      <c r="C99" s="34" t="str">
        <f aca="false">IF('Player Data'!E99&lt;='Model Settings'!$E$69,ROUND(100*((N('Player Data'!H99)&gt;='Model Settings'!$E$19)*'Model Settings'!$F$19+(N('Player Data'!S99)&gt;='Model Settings'!$E$20)*'Model Settings'!$F$20+(N('Player Data'!AH99)&gt;='Model Settings'!$E$21)*'Model Settings'!$F$21+(N('Player Data'!AX99)&gt;='Model Settings'!$E$22)*'Model Settings'!$F$22+(N('Player Data'!Y99)&gt;='Model Settings'!$E$23)*'Model Settings'!$F$23+(N('Player Data'!AM99)&gt;='Model Settings'!$E$24)*'Model Settings'!$F$24)/('Model Settings'!$F$19+'Model Settings'!$F$20+'Model Settings'!$F$21+'Model Settings'!$F$22+'Model Settings'!$F$23+'Model Settings'!$F$24),0),"n/a")</f>
        <v>n/a</v>
      </c>
      <c r="D99" s="50" t="n">
        <f aca="false">ROUND(100*((N('Player Data'!U99)&gt;='Model Settings'!$E$25)*'Model Settings'!$F$25+(N('Player Data'!V99)&gt;='Model Settings'!$E$26)*'Model Settings'!$F$26+(N('Player Data'!W99)&gt;='Model Settings'!$E$27)*'Model Settings'!$F$27+(N('Player Data'!AT99)&gt;='Model Settings'!$E$28)*'Model Settings'!$F$28+(N('Player Data'!AE99)&gt;='Model Settings'!$E$29)*'Model Settings'!$F$29+(N('Player Data'!AO99)&gt;='Model Settings'!$E$30)*'Model Settings'!$F$30+(N('Player Data'!AG99)&gt;='Model Settings'!$E$31)*'Model Settings'!$F$31)/('Model Settings'!$F$25+'Model Settings'!$F$26+'Model Settings'!$F$27+'Model Settings'!$F$28+'Model Settings'!$F$29+'Model Settings'!$F$30+'Model Settings'!$F$31),0)</f>
        <v>71</v>
      </c>
      <c r="E99" s="50" t="n">
        <f aca="false">ROUND(100*((N('Player Data'!Z99)&gt;='Model Settings'!$E$32)*'Model Settings'!$F$32+(N('Player Data'!BN99)&gt;='Model Settings'!$E$33)*'Model Settings'!$F$33+(N('Player Data'!BO99)&gt;='Model Settings'!$E$34)*'Model Settings'!$F$34+(N('Player Data'!BP99)&gt;='Model Settings'!$E$35)*'Model Settings'!$F$35+('Player Data'!BR99='Model Settings'!$E$36)*'Model Settings'!$F$36+(N('Player Data'!AW99)&gt;='Model Settings'!$E$37)*'Model Settings'!$F$37+(N('Player Data'!AF99)&lt;='Model Settings'!$E$38)*'Model Settings'!$F$38)/('Model Settings'!$F$32+'Model Settings'!$F$33+'Model Settings'!$F$34+'Model Settings'!$F$35+'Model Settings'!$F$36+'Model Settings'!$F$37+'Model Settings'!$F$38),0)</f>
        <v>14</v>
      </c>
      <c r="F99" s="50" t="n">
        <f aca="false">ROUND(100*((N('Player Data'!K99)&gt;='Model Settings'!$E$39)*'Model Settings'!$F$39+(N('Player Data'!P99)&gt;='Model Settings'!$E$40)*'Model Settings'!$F$40+(N('Player Data'!M99)&gt;='Model Settings'!$E$41)*'Model Settings'!$F$41+(N('Player Data'!AU99)&gt;='Model Settings'!$E$42)*'Model Settings'!$F$42+(N('Player Data'!CL99)&gt;='Model Settings'!$E$43)*'Model Settings'!$F$43+(N('Player Data'!Q99)&gt;='Model Settings'!$E$44)*'Model Settings'!$F$44)/('Model Settings'!$F$39+'Model Settings'!$F$40+'Model Settings'!$F$41+'Model Settings'!$F$42+'Model Settings'!$F$43+'Model Settings'!$F$44),0)</f>
        <v>50</v>
      </c>
      <c r="G99" s="50" t="n">
        <f aca="false">ROUND(100*((N('Player Data'!BE99)&gt;='Model Settings'!$E$45)*'Model Settings'!$F$45+(N('Player Data'!BH99)&gt;='Model Settings'!$E$46)*'Model Settings'!$F$46+(N('Player Data'!U99)&gt;='Model Settings'!$E$47)*'Model Settings'!$F$47+(N('Player Data'!BN99)&gt;='Model Settings'!$E$48)*'Model Settings'!$F$48+(N('Player Data'!AX99)&gt;='Model Settings'!$E$49)*'Model Settings'!$F$49+(N('Player Data'!BL99)&gt;='Model Settings'!$E$50)*'Model Settings'!$F$50+(N('Player Data'!BI99)&gt;='Model Settings'!$E$51)*'Model Settings'!$F$51)/('Model Settings'!$F$45+'Model Settings'!$F$46+'Model Settings'!$F$47+'Model Settings'!$F$48+'Model Settings'!$F$49+'Model Settings'!$F$50+'Model Settings'!$F$51),0)</f>
        <v>57</v>
      </c>
      <c r="H99" s="34" t="str">
        <f aca="false">IF(AND(B99&lt;'Model Settings'!$E$66,E99&lt;'Model Settings'!$E$68),"Non-problem",IF(E99&gt;='Model Settings'!$E$68,"Financially vulnerable",IF(OR(N('Player Data'!BY99)&gt;=1,N('Player Data'!BX99)&gt;=2,N('Player Data'!BW99)&gt;=3),"Emotionally vulnerable","At-risk")))</f>
        <v>At-risk</v>
      </c>
      <c r="I99" s="34" t="str">
        <f aca="false">IF(OR(N('Player Data'!BY99)&gt;=1,'Player Data'!BZ99="Yes"),"Alert","None")</f>
        <v>None</v>
      </c>
      <c r="J99" s="34" t="str">
        <f aca="false">IF(OR(B99&gt;='Model Settings'!$E$67,'Player Data'!BM99="Yes",I99="Alert"),"Suppress",IF(AND(B99&gt;='Model Settings'!$E$66,'Player Data'!G99="Yes"),"Review VIP","Allow"))</f>
        <v>Suppress</v>
      </c>
      <c r="K99" s="50" t="n">
        <f aca="false">ROUND(100*((N('Player Data'!CH99)&gt;='Model Settings'!$E$52)*'Model Settings'!$F$52+(N('Player Data'!CI99)&gt;='Model Settings'!$E$53)*'Model Settings'!$F$53+(N('Player Data'!R99)&gt;='Model Settings'!$E$54)*'Model Settings'!$F$54+(N('Player Data'!Y99)&gt;='Model Settings'!$E$55)*'Model Settings'!$F$55+(N('Player Data'!AS99)&gt;='Model Settings'!$E$56)*'Model Settings'!$F$56)/('Model Settings'!$F$52+'Model Settings'!$F$53+'Model Settings'!$F$54+'Model Settings'!$F$55+'Model Settings'!$F$56),0)</f>
        <v>40</v>
      </c>
      <c r="L99" s="34" t="str">
        <f aca="false">IF('Player Data'!D99="Spain",ROUND(100*((N('Player Data'!H99)&gt;='Model Settings'!$E$57)*'Model Settings'!$F$57+(N('Player Data'!AI99)&gt;='Model Settings'!$E$58)*'Model Settings'!$F$58+(N('Player Data'!AL99)&gt;='Model Settings'!$E$59)*'Model Settings'!$F$59+(N('Player Data'!M99)&gt;='Model Settings'!$E$60)*'Model Settings'!$F$60+(N('Player Data'!X99)&lt;='Model Settings'!$E$61)*'Model Settings'!$F$61+(N('Player Data'!Y99)&gt;='Model Settings'!$E$62)*'Model Settings'!$F$62+(N('Player Data'!P99)&gt;='Model Settings'!$E$63)*'Model Settings'!$F$63)/('Model Settings'!$F$57+'Model Settings'!$F$58+'Model Settings'!$F$59+'Model Settings'!$F$60+'Model Settings'!$F$61+'Model Settings'!$F$62+'Model Settings'!$F$63),0),"n/a")</f>
        <v>n/a</v>
      </c>
      <c r="M99" s="34" t="str">
        <f aca="false">IF('Player Data'!CA99="None","No contact yet",IF('Player Data'!CA99="Improved","Working",IF('Player Data'!CA99="No change","Review approach","Escalate")))</f>
        <v>Working</v>
      </c>
      <c r="N99" s="49" t="str">
        <f aca="false">IF(OR('Player Data'!BM99="Yes",I99="Alert"),"High",IF(B99&gt;='Model Settings'!$E$67,"High",IF(OR(B99&gt;='Model Settings'!$E$66,D99&gt;='Model Settings'!$E$68,F99&gt;='Model Settings'!$E$68,K99&gt;='Model Settings'!$E$68),"Medium","Low")))</f>
        <v>High</v>
      </c>
      <c r="O99" s="34" t="str">
        <f aca="false">IF(N99="High","Contact player + review within 48h; stop marketing",IF(N99="Medium","Safer gambling message; monitor weekly","No action; routine monitoring"))</f>
        <v>Contact player + review within 48h; stop marketing</v>
      </c>
      <c r="P99" s="34" t="n">
        <f aca="false">IF(OR(N99="High",AND('Model Settings'!$E$70="High+Medium",N99="Medium")),1,0)</f>
        <v>1</v>
      </c>
      <c r="Q99" s="34" t="n">
        <f aca="false">'Player Data'!CM99</f>
        <v>1</v>
      </c>
    </row>
    <row r="100" customFormat="false" ht="15" hidden="false" customHeight="false" outlineLevel="0" collapsed="false">
      <c r="A100" s="49" t="str">
        <f aca="false">'Player Data'!A100</f>
        <v>P095</v>
      </c>
      <c r="B100" s="50" t="n">
        <f aca="false">ROUND(100*((N('Player Data'!U100)&gt;='Model Settings'!$E$5)*'Model Settings'!$F$5+(N('Player Data'!AT100)&gt;='Model Settings'!$E$6)*'Model Settings'!$F$6+(N('Player Data'!BI100)&gt;='Model Settings'!$E$7)*'Model Settings'!$F$7+(N('Player Data'!AL100)&gt;='Model Settings'!$E$8)*'Model Settings'!$F$8+(N('Player Data'!AH100)&gt;='Model Settings'!$E$9)*'Model Settings'!$F$9+(N('Player Data'!B100)&lt;='Model Settings'!$E$10)*'Model Settings'!$F$10+(N('Player Data'!M100)&gt;='Model Settings'!$E$11)*'Model Settings'!$F$11+(N('Player Data'!J100)&lt;='Model Settings'!$E$12)*'Model Settings'!$F$12+(N('Player Data'!V100)&gt;='Model Settings'!$E$13)*'Model Settings'!$F$13+(N('Player Data'!W100)&gt;='Model Settings'!$E$14)*'Model Settings'!$F$14+(N('Player Data'!AE100)&gt;='Model Settings'!$E$15)*'Model Settings'!$F$15+(N('Player Data'!BF100)&gt;='Model Settings'!$E$16)*'Model Settings'!$F$16+(N('Player Data'!AX100)&gt;='Model Settings'!$E$17)*'Model Settings'!$F$17+(N('Player Data'!AP100)&gt;='Model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100" s="34" t="str">
        <f aca="false">IF('Player Data'!E100&lt;='Model Settings'!$E$69,ROUND(100*((N('Player Data'!H100)&gt;='Model Settings'!$E$19)*'Model Settings'!$F$19+(N('Player Data'!S100)&gt;='Model Settings'!$E$20)*'Model Settings'!$F$20+(N('Player Data'!AH100)&gt;='Model Settings'!$E$21)*'Model Settings'!$F$21+(N('Player Data'!AX100)&gt;='Model Settings'!$E$22)*'Model Settings'!$F$22+(N('Player Data'!Y100)&gt;='Model Settings'!$E$23)*'Model Settings'!$F$23+(N('Player Data'!AM100)&gt;='Model Settings'!$E$24)*'Model Settings'!$F$24)/('Model Settings'!$F$19+'Model Settings'!$F$20+'Model Settings'!$F$21+'Model Settings'!$F$22+'Model Settings'!$F$23+'Model Settings'!$F$24),0),"n/a")</f>
        <v>n/a</v>
      </c>
      <c r="D100" s="50" t="n">
        <f aca="false">ROUND(100*((N('Player Data'!U100)&gt;='Model Settings'!$E$25)*'Model Settings'!$F$25+(N('Player Data'!V100)&gt;='Model Settings'!$E$26)*'Model Settings'!$F$26+(N('Player Data'!W100)&gt;='Model Settings'!$E$27)*'Model Settings'!$F$27+(N('Player Data'!AT100)&gt;='Model Settings'!$E$28)*'Model Settings'!$F$28+(N('Player Data'!AE100)&gt;='Model Settings'!$E$29)*'Model Settings'!$F$29+(N('Player Data'!AO100)&gt;='Model Settings'!$E$30)*'Model Settings'!$F$30+(N('Player Data'!AG100)&gt;='Model Settings'!$E$31)*'Model Settings'!$F$31)/('Model Settings'!$F$25+'Model Settings'!$F$26+'Model Settings'!$F$27+'Model Settings'!$F$28+'Model Settings'!$F$29+'Model Settings'!$F$30+'Model Settings'!$F$31),0)</f>
        <v>14</v>
      </c>
      <c r="E100" s="50" t="n">
        <f aca="false">ROUND(100*((N('Player Data'!Z100)&gt;='Model Settings'!$E$32)*'Model Settings'!$F$32+(N('Player Data'!BN100)&gt;='Model Settings'!$E$33)*'Model Settings'!$F$33+(N('Player Data'!BO100)&gt;='Model Settings'!$E$34)*'Model Settings'!$F$34+(N('Player Data'!BP100)&gt;='Model Settings'!$E$35)*'Model Settings'!$F$35+('Player Data'!BR100='Model Settings'!$E$36)*'Model Settings'!$F$36+(N('Player Data'!AW100)&gt;='Model Settings'!$E$37)*'Model Settings'!$F$37+(N('Player Data'!AF100)&lt;='Model Settings'!$E$38)*'Model Settings'!$F$38)/('Model Settings'!$F$32+'Model Settings'!$F$33+'Model Settings'!$F$34+'Model Settings'!$F$35+'Model Settings'!$F$36+'Model Settings'!$F$37+'Model Settings'!$F$38),0)</f>
        <v>0</v>
      </c>
      <c r="F100" s="50" t="n">
        <f aca="false">ROUND(100*((N('Player Data'!K100)&gt;='Model Settings'!$E$39)*'Model Settings'!$F$39+(N('Player Data'!P100)&gt;='Model Settings'!$E$40)*'Model Settings'!$F$40+(N('Player Data'!M100)&gt;='Model Settings'!$E$41)*'Model Settings'!$F$41+(N('Player Data'!AU100)&gt;='Model Settings'!$E$42)*'Model Settings'!$F$42+(N('Player Data'!CL100)&gt;='Model Settings'!$E$43)*'Model Settings'!$F$43+(N('Player Data'!Q100)&gt;='Model Settings'!$E$44)*'Model Settings'!$F$44)/('Model Settings'!$F$39+'Model Settings'!$F$40+'Model Settings'!$F$41+'Model Settings'!$F$42+'Model Settings'!$F$43+'Model Settings'!$F$44),0)</f>
        <v>17</v>
      </c>
      <c r="G100" s="50" t="n">
        <f aca="false">ROUND(100*((N('Player Data'!BE100)&gt;='Model Settings'!$E$45)*'Model Settings'!$F$45+(N('Player Data'!BH100)&gt;='Model Settings'!$E$46)*'Model Settings'!$F$46+(N('Player Data'!U100)&gt;='Model Settings'!$E$47)*'Model Settings'!$F$47+(N('Player Data'!BN100)&gt;='Model Settings'!$E$48)*'Model Settings'!$F$48+(N('Player Data'!AX100)&gt;='Model Settings'!$E$49)*'Model Settings'!$F$49+(N('Player Data'!BL100)&gt;='Model Settings'!$E$50)*'Model Settings'!$F$50+(N('Player Data'!BI100)&gt;='Model Settings'!$E$51)*'Model Settings'!$F$51)/('Model Settings'!$F$45+'Model Settings'!$F$46+'Model Settings'!$F$47+'Model Settings'!$F$48+'Model Settings'!$F$49+'Model Settings'!$F$50+'Model Settings'!$F$51),0)</f>
        <v>0</v>
      </c>
      <c r="H100" s="34" t="str">
        <f aca="false">IF(AND(B100&lt;'Model Settings'!$E$66,E100&lt;'Model Settings'!$E$68),"Non-problem",IF(E100&gt;='Model Settings'!$E$68,"Financially vulnerable",IF(OR(N('Player Data'!BY100)&gt;=1,N('Player Data'!BX100)&gt;=2,N('Player Data'!BW100)&gt;=3),"Emotionally vulnerable","At-risk")))</f>
        <v>Non-problem</v>
      </c>
      <c r="I100" s="34" t="str">
        <f aca="false">IF(OR(N('Player Data'!BY100)&gt;=1,'Player Data'!BZ100="Yes"),"Alert","None")</f>
        <v>None</v>
      </c>
      <c r="J100" s="34" t="str">
        <f aca="false">IF(OR(B100&gt;='Model Settings'!$E$67,'Player Data'!BM100="Yes",I100="Alert"),"Suppress",IF(AND(B100&gt;='Model Settings'!$E$66,'Player Data'!G100="Yes"),"Review VIP","Allow"))</f>
        <v>Allow</v>
      </c>
      <c r="K100" s="50" t="n">
        <f aca="false">ROUND(100*((N('Player Data'!CH100)&gt;='Model Settings'!$E$52)*'Model Settings'!$F$52+(N('Player Data'!CI100)&gt;='Model Settings'!$E$53)*'Model Settings'!$F$53+(N('Player Data'!R100)&gt;='Model Settings'!$E$54)*'Model Settings'!$F$54+(N('Player Data'!Y100)&gt;='Model Settings'!$E$55)*'Model Settings'!$F$55+(N('Player Data'!AS100)&gt;='Model Settings'!$E$56)*'Model Settings'!$F$56)/('Model Settings'!$F$52+'Model Settings'!$F$53+'Model Settings'!$F$54+'Model Settings'!$F$55+'Model Settings'!$F$56),0)</f>
        <v>0</v>
      </c>
      <c r="L100" s="34" t="str">
        <f aca="false">IF('Player Data'!D100="Spain",ROUND(100*((N('Player Data'!H100)&gt;='Model Settings'!$E$57)*'Model Settings'!$F$57+(N('Player Data'!AI100)&gt;='Model Settings'!$E$58)*'Model Settings'!$F$58+(N('Player Data'!AL100)&gt;='Model Settings'!$E$59)*'Model Settings'!$F$59+(N('Player Data'!M100)&gt;='Model Settings'!$E$60)*'Model Settings'!$F$60+(N('Player Data'!X100)&lt;='Model Settings'!$E$61)*'Model Settings'!$F$61+(N('Player Data'!Y100)&gt;='Model Settings'!$E$62)*'Model Settings'!$F$62+(N('Player Data'!P100)&gt;='Model Settings'!$E$63)*'Model Settings'!$F$63)/('Model Settings'!$F$57+'Model Settings'!$F$58+'Model Settings'!$F$59+'Model Settings'!$F$60+'Model Settings'!$F$61+'Model Settings'!$F$62+'Model Settings'!$F$63),0),"n/a")</f>
        <v>n/a</v>
      </c>
      <c r="M100" s="34" t="str">
        <f aca="false">IF('Player Data'!CA100="None","No contact yet",IF('Player Data'!CA100="Improved","Working",IF('Player Data'!CA100="No change","Review approach","Escalate")))</f>
        <v>No contact yet</v>
      </c>
      <c r="N100" s="49" t="str">
        <f aca="false">IF(OR('Player Data'!BM100="Yes",I100="Alert"),"High",IF(B100&gt;='Model Settings'!$E$67,"High",IF(OR(B100&gt;='Model Settings'!$E$66,D100&gt;='Model Settings'!$E$68,F100&gt;='Model Settings'!$E$68,K100&gt;='Model Settings'!$E$68),"Medium","Low")))</f>
        <v>Low</v>
      </c>
      <c r="O100" s="34" t="str">
        <f aca="false">IF(N100="High","Contact player + review within 48h; stop marketing",IF(N100="Medium","Safer gambling message; monitor weekly","No action; routine monitoring"))</f>
        <v>No action; routine monitoring</v>
      </c>
      <c r="P100" s="34" t="n">
        <f aca="false">IF(OR(N100="High",AND('Model Settings'!$E$70="High+Medium",N100="Medium")),1,0)</f>
        <v>0</v>
      </c>
      <c r="Q100" s="34" t="n">
        <f aca="false">'Player Data'!CM100</f>
        <v>0</v>
      </c>
    </row>
    <row r="101" customFormat="false" ht="15" hidden="false" customHeight="false" outlineLevel="0" collapsed="false">
      <c r="A101" s="49" t="str">
        <f aca="false">'Player Data'!A101</f>
        <v>P096</v>
      </c>
      <c r="B101" s="50" t="n">
        <f aca="false">ROUND(100*((N('Player Data'!U101)&gt;='Model Settings'!$E$5)*'Model Settings'!$F$5+(N('Player Data'!AT101)&gt;='Model Settings'!$E$6)*'Model Settings'!$F$6+(N('Player Data'!BI101)&gt;='Model Settings'!$E$7)*'Model Settings'!$F$7+(N('Player Data'!AL101)&gt;='Model Settings'!$E$8)*'Model Settings'!$F$8+(N('Player Data'!AH101)&gt;='Model Settings'!$E$9)*'Model Settings'!$F$9+(N('Player Data'!B101)&lt;='Model Settings'!$E$10)*'Model Settings'!$F$10+(N('Player Data'!M101)&gt;='Model Settings'!$E$11)*'Model Settings'!$F$11+(N('Player Data'!J101)&lt;='Model Settings'!$E$12)*'Model Settings'!$F$12+(N('Player Data'!V101)&gt;='Model Settings'!$E$13)*'Model Settings'!$F$13+(N('Player Data'!W101)&gt;='Model Settings'!$E$14)*'Model Settings'!$F$14+(N('Player Data'!AE101)&gt;='Model Settings'!$E$15)*'Model Settings'!$F$15+(N('Player Data'!BF101)&gt;='Model Settings'!$E$16)*'Model Settings'!$F$16+(N('Player Data'!AX101)&gt;='Model Settings'!$E$17)*'Model Settings'!$F$17+(N('Player Data'!AP101)&gt;='Model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26</v>
      </c>
      <c r="C101" s="34" t="str">
        <f aca="false">IF('Player Data'!E101&lt;='Model Settings'!$E$69,ROUND(100*((N('Player Data'!H101)&gt;='Model Settings'!$E$19)*'Model Settings'!$F$19+(N('Player Data'!S101)&gt;='Model Settings'!$E$20)*'Model Settings'!$F$20+(N('Player Data'!AH101)&gt;='Model Settings'!$E$21)*'Model Settings'!$F$21+(N('Player Data'!AX101)&gt;='Model Settings'!$E$22)*'Model Settings'!$F$22+(N('Player Data'!Y101)&gt;='Model Settings'!$E$23)*'Model Settings'!$F$23+(N('Player Data'!AM101)&gt;='Model Settings'!$E$24)*'Model Settings'!$F$24)/('Model Settings'!$F$19+'Model Settings'!$F$20+'Model Settings'!$F$21+'Model Settings'!$F$22+'Model Settings'!$F$23+'Model Settings'!$F$24),0),"n/a")</f>
        <v>n/a</v>
      </c>
      <c r="D101" s="50" t="n">
        <f aca="false">ROUND(100*((N('Player Data'!U101)&gt;='Model Settings'!$E$25)*'Model Settings'!$F$25+(N('Player Data'!V101)&gt;='Model Settings'!$E$26)*'Model Settings'!$F$26+(N('Player Data'!W101)&gt;='Model Settings'!$E$27)*'Model Settings'!$F$27+(N('Player Data'!AT101)&gt;='Model Settings'!$E$28)*'Model Settings'!$F$28+(N('Player Data'!AE101)&gt;='Model Settings'!$E$29)*'Model Settings'!$F$29+(N('Player Data'!AO101)&gt;='Model Settings'!$E$30)*'Model Settings'!$F$30+(N('Player Data'!AG101)&gt;='Model Settings'!$E$31)*'Model Settings'!$F$31)/('Model Settings'!$F$25+'Model Settings'!$F$26+'Model Settings'!$F$27+'Model Settings'!$F$28+'Model Settings'!$F$29+'Model Settings'!$F$30+'Model Settings'!$F$31),0)</f>
        <v>29</v>
      </c>
      <c r="E101" s="50" t="n">
        <f aca="false">ROUND(100*((N('Player Data'!Z101)&gt;='Model Settings'!$E$32)*'Model Settings'!$F$32+(N('Player Data'!BN101)&gt;='Model Settings'!$E$33)*'Model Settings'!$F$33+(N('Player Data'!BO101)&gt;='Model Settings'!$E$34)*'Model Settings'!$F$34+(N('Player Data'!BP101)&gt;='Model Settings'!$E$35)*'Model Settings'!$F$35+('Player Data'!BR101='Model Settings'!$E$36)*'Model Settings'!$F$36+(N('Player Data'!AW101)&gt;='Model Settings'!$E$37)*'Model Settings'!$F$37+(N('Player Data'!AF101)&lt;='Model Settings'!$E$38)*'Model Settings'!$F$38)/('Model Settings'!$F$32+'Model Settings'!$F$33+'Model Settings'!$F$34+'Model Settings'!$F$35+'Model Settings'!$F$36+'Model Settings'!$F$37+'Model Settings'!$F$38),0)</f>
        <v>0</v>
      </c>
      <c r="F101" s="50" t="n">
        <f aca="false">ROUND(100*((N('Player Data'!K101)&gt;='Model Settings'!$E$39)*'Model Settings'!$F$39+(N('Player Data'!P101)&gt;='Model Settings'!$E$40)*'Model Settings'!$F$40+(N('Player Data'!M101)&gt;='Model Settings'!$E$41)*'Model Settings'!$F$41+(N('Player Data'!AU101)&gt;='Model Settings'!$E$42)*'Model Settings'!$F$42+(N('Player Data'!CL101)&gt;='Model Settings'!$E$43)*'Model Settings'!$F$43+(N('Player Data'!Q101)&gt;='Model Settings'!$E$44)*'Model Settings'!$F$44)/('Model Settings'!$F$39+'Model Settings'!$F$40+'Model Settings'!$F$41+'Model Settings'!$F$42+'Model Settings'!$F$43+'Model Settings'!$F$44),0)</f>
        <v>33</v>
      </c>
      <c r="G101" s="50" t="n">
        <f aca="false">ROUND(100*((N('Player Data'!BE101)&gt;='Model Settings'!$E$45)*'Model Settings'!$F$45+(N('Player Data'!BH101)&gt;='Model Settings'!$E$46)*'Model Settings'!$F$46+(N('Player Data'!U101)&gt;='Model Settings'!$E$47)*'Model Settings'!$F$47+(N('Player Data'!BN101)&gt;='Model Settings'!$E$48)*'Model Settings'!$F$48+(N('Player Data'!AX101)&gt;='Model Settings'!$E$49)*'Model Settings'!$F$49+(N('Player Data'!BL101)&gt;='Model Settings'!$E$50)*'Model Settings'!$F$50+(N('Player Data'!BI101)&gt;='Model Settings'!$E$51)*'Model Settings'!$F$51)/('Model Settings'!$F$45+'Model Settings'!$F$46+'Model Settings'!$F$47+'Model Settings'!$F$48+'Model Settings'!$F$49+'Model Settings'!$F$50+'Model Settings'!$F$51),0)</f>
        <v>43</v>
      </c>
      <c r="H101" s="34" t="str">
        <f aca="false">IF(AND(B101&lt;'Model Settings'!$E$66,E101&lt;'Model Settings'!$E$68),"Non-problem",IF(E101&gt;='Model Settings'!$E$68,"Financially vulnerable",IF(OR(N('Player Data'!BY101)&gt;=1,N('Player Data'!BX101)&gt;=2,N('Player Data'!BW101)&gt;=3),"Emotionally vulnerable","At-risk")))</f>
        <v>Emotionally vulnerable</v>
      </c>
      <c r="I101" s="34" t="str">
        <f aca="false">IF(OR(N('Player Data'!BY101)&gt;=1,'Player Data'!BZ101="Yes"),"Alert","None")</f>
        <v>None</v>
      </c>
      <c r="J101" s="34" t="str">
        <f aca="false">IF(OR(B101&gt;='Model Settings'!$E$67,'Player Data'!BM101="Yes",I101="Alert"),"Suppress",IF(AND(B101&gt;='Model Settings'!$E$66,'Player Data'!G101="Yes"),"Review VIP","Allow"))</f>
        <v>Allow</v>
      </c>
      <c r="K101" s="50" t="n">
        <f aca="false">ROUND(100*((N('Player Data'!CH101)&gt;='Model Settings'!$E$52)*'Model Settings'!$F$52+(N('Player Data'!CI101)&gt;='Model Settings'!$E$53)*'Model Settings'!$F$53+(N('Player Data'!R101)&gt;='Model Settings'!$E$54)*'Model Settings'!$F$54+(N('Player Data'!Y101)&gt;='Model Settings'!$E$55)*'Model Settings'!$F$55+(N('Player Data'!AS101)&gt;='Model Settings'!$E$56)*'Model Settings'!$F$56)/('Model Settings'!$F$52+'Model Settings'!$F$53+'Model Settings'!$F$54+'Model Settings'!$F$55+'Model Settings'!$F$56),0)</f>
        <v>40</v>
      </c>
      <c r="L101" s="34" t="str">
        <f aca="false">IF('Player Data'!D101="Spain",ROUND(100*((N('Player Data'!H101)&gt;='Model Settings'!$E$57)*'Model Settings'!$F$57+(N('Player Data'!AI101)&gt;='Model Settings'!$E$58)*'Model Settings'!$F$58+(N('Player Data'!AL101)&gt;='Model Settings'!$E$59)*'Model Settings'!$F$59+(N('Player Data'!M101)&gt;='Model Settings'!$E$60)*'Model Settings'!$F$60+(N('Player Data'!X101)&lt;='Model Settings'!$E$61)*'Model Settings'!$F$61+(N('Player Data'!Y101)&gt;='Model Settings'!$E$62)*'Model Settings'!$F$62+(N('Player Data'!P101)&gt;='Model Settings'!$E$63)*'Model Settings'!$F$63)/('Model Settings'!$F$57+'Model Settings'!$F$58+'Model Settings'!$F$59+'Model Settings'!$F$60+'Model Settings'!$F$61+'Model Settings'!$F$62+'Model Settings'!$F$63),0),"n/a")</f>
        <v>n/a</v>
      </c>
      <c r="M101" s="34" t="str">
        <f aca="false">IF('Player Data'!CA101="None","No contact yet",IF('Player Data'!CA101="Improved","Working",IF('Player Data'!CA101="No change","Review approach","Escalate")))</f>
        <v>No contact yet</v>
      </c>
      <c r="N101" s="49" t="str">
        <f aca="false">IF(OR('Player Data'!BM101="Yes",I101="Alert"),"High",IF(B101&gt;='Model Settings'!$E$67,"High",IF(OR(B101&gt;='Model Settings'!$E$66,D101&gt;='Model Settings'!$E$68,F101&gt;='Model Settings'!$E$68,K101&gt;='Model Settings'!$E$68),"Medium","Low")))</f>
        <v>Medium</v>
      </c>
      <c r="O101" s="34" t="str">
        <f aca="false">IF(N101="High","Contact player + review within 48h; stop marketing",IF(N101="Medium","Safer gambling message; monitor weekly","No action; routine monitoring"))</f>
        <v>Safer gambling message; monitor weekly</v>
      </c>
      <c r="P101" s="34" t="n">
        <f aca="false">IF(OR(N101="High",AND('Model Settings'!$E$70="High+Medium",N101="Medium")),1,0)</f>
        <v>0</v>
      </c>
      <c r="Q101" s="34" t="n">
        <f aca="false">'Player Data'!CM101</f>
        <v>1</v>
      </c>
    </row>
    <row r="102" customFormat="false" ht="15" hidden="false" customHeight="false" outlineLevel="0" collapsed="false">
      <c r="A102" s="49" t="str">
        <f aca="false">'Player Data'!A102</f>
        <v>P097</v>
      </c>
      <c r="B102" s="50" t="n">
        <f aca="false">ROUND(100*((N('Player Data'!U102)&gt;='Model Settings'!$E$5)*'Model Settings'!$F$5+(N('Player Data'!AT102)&gt;='Model Settings'!$E$6)*'Model Settings'!$F$6+(N('Player Data'!BI102)&gt;='Model Settings'!$E$7)*'Model Settings'!$F$7+(N('Player Data'!AL102)&gt;='Model Settings'!$E$8)*'Model Settings'!$F$8+(N('Player Data'!AH102)&gt;='Model Settings'!$E$9)*'Model Settings'!$F$9+(N('Player Data'!B102)&lt;='Model Settings'!$E$10)*'Model Settings'!$F$10+(N('Player Data'!M102)&gt;='Model Settings'!$E$11)*'Model Settings'!$F$11+(N('Player Data'!J102)&lt;='Model Settings'!$E$12)*'Model Settings'!$F$12+(N('Player Data'!V102)&gt;='Model Settings'!$E$13)*'Model Settings'!$F$13+(N('Player Data'!W102)&gt;='Model Settings'!$E$14)*'Model Settings'!$F$14+(N('Player Data'!AE102)&gt;='Model Settings'!$E$15)*'Model Settings'!$F$15+(N('Player Data'!BF102)&gt;='Model Settings'!$E$16)*'Model Settings'!$F$16+(N('Player Data'!AX102)&gt;='Model Settings'!$E$17)*'Model Settings'!$F$17+(N('Player Data'!AP102)&gt;='Model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02" s="34" t="str">
        <f aca="false">IF('Player Data'!E102&lt;='Model Settings'!$E$69,ROUND(100*((N('Player Data'!H102)&gt;='Model Settings'!$E$19)*'Model Settings'!$F$19+(N('Player Data'!S102)&gt;='Model Settings'!$E$20)*'Model Settings'!$F$20+(N('Player Data'!AH102)&gt;='Model Settings'!$E$21)*'Model Settings'!$F$21+(N('Player Data'!AX102)&gt;='Model Settings'!$E$22)*'Model Settings'!$F$22+(N('Player Data'!Y102)&gt;='Model Settings'!$E$23)*'Model Settings'!$F$23+(N('Player Data'!AM102)&gt;='Model Settings'!$E$24)*'Model Settings'!$F$24)/('Model Settings'!$F$19+'Model Settings'!$F$20+'Model Settings'!$F$21+'Model Settings'!$F$22+'Model Settings'!$F$23+'Model Settings'!$F$24),0),"n/a")</f>
        <v>n/a</v>
      </c>
      <c r="D102" s="50" t="n">
        <f aca="false">ROUND(100*((N('Player Data'!U102)&gt;='Model Settings'!$E$25)*'Model Settings'!$F$25+(N('Player Data'!V102)&gt;='Model Settings'!$E$26)*'Model Settings'!$F$26+(N('Player Data'!W102)&gt;='Model Settings'!$E$27)*'Model Settings'!$F$27+(N('Player Data'!AT102)&gt;='Model Settings'!$E$28)*'Model Settings'!$F$28+(N('Player Data'!AE102)&gt;='Model Settings'!$E$29)*'Model Settings'!$F$29+(N('Player Data'!AO102)&gt;='Model Settings'!$E$30)*'Model Settings'!$F$30+(N('Player Data'!AG102)&gt;='Model Settings'!$E$31)*'Model Settings'!$F$31)/('Model Settings'!$F$25+'Model Settings'!$F$26+'Model Settings'!$F$27+'Model Settings'!$F$28+'Model Settings'!$F$29+'Model Settings'!$F$30+'Model Settings'!$F$31),0)</f>
        <v>0</v>
      </c>
      <c r="E102" s="50" t="n">
        <f aca="false">ROUND(100*((N('Player Data'!Z102)&gt;='Model Settings'!$E$32)*'Model Settings'!$F$32+(N('Player Data'!BN102)&gt;='Model Settings'!$E$33)*'Model Settings'!$F$33+(N('Player Data'!BO102)&gt;='Model Settings'!$E$34)*'Model Settings'!$F$34+(N('Player Data'!BP102)&gt;='Model Settings'!$E$35)*'Model Settings'!$F$35+('Player Data'!BR102='Model Settings'!$E$36)*'Model Settings'!$F$36+(N('Player Data'!AW102)&gt;='Model Settings'!$E$37)*'Model Settings'!$F$37+(N('Player Data'!AF102)&lt;='Model Settings'!$E$38)*'Model Settings'!$F$38)/('Model Settings'!$F$32+'Model Settings'!$F$33+'Model Settings'!$F$34+'Model Settings'!$F$35+'Model Settings'!$F$36+'Model Settings'!$F$37+'Model Settings'!$F$38),0)</f>
        <v>14</v>
      </c>
      <c r="F102" s="50" t="n">
        <f aca="false">ROUND(100*((N('Player Data'!K102)&gt;='Model Settings'!$E$39)*'Model Settings'!$F$39+(N('Player Data'!P102)&gt;='Model Settings'!$E$40)*'Model Settings'!$F$40+(N('Player Data'!M102)&gt;='Model Settings'!$E$41)*'Model Settings'!$F$41+(N('Player Data'!AU102)&gt;='Model Settings'!$E$42)*'Model Settings'!$F$42+(N('Player Data'!CL102)&gt;='Model Settings'!$E$43)*'Model Settings'!$F$43+(N('Player Data'!Q102)&gt;='Model Settings'!$E$44)*'Model Settings'!$F$44)/('Model Settings'!$F$39+'Model Settings'!$F$40+'Model Settings'!$F$41+'Model Settings'!$F$42+'Model Settings'!$F$43+'Model Settings'!$F$44),0)</f>
        <v>17</v>
      </c>
      <c r="G102" s="50" t="n">
        <f aca="false">ROUND(100*((N('Player Data'!BE102)&gt;='Model Settings'!$E$45)*'Model Settings'!$F$45+(N('Player Data'!BH102)&gt;='Model Settings'!$E$46)*'Model Settings'!$F$46+(N('Player Data'!U102)&gt;='Model Settings'!$E$47)*'Model Settings'!$F$47+(N('Player Data'!BN102)&gt;='Model Settings'!$E$48)*'Model Settings'!$F$48+(N('Player Data'!AX102)&gt;='Model Settings'!$E$49)*'Model Settings'!$F$49+(N('Player Data'!BL102)&gt;='Model Settings'!$E$50)*'Model Settings'!$F$50+(N('Player Data'!BI102)&gt;='Model Settings'!$E$51)*'Model Settings'!$F$51)/('Model Settings'!$F$45+'Model Settings'!$F$46+'Model Settings'!$F$47+'Model Settings'!$F$48+'Model Settings'!$F$49+'Model Settings'!$F$50+'Model Settings'!$F$51),0)</f>
        <v>29</v>
      </c>
      <c r="H102" s="34" t="str">
        <f aca="false">IF(AND(B102&lt;'Model Settings'!$E$66,E102&lt;'Model Settings'!$E$68),"Non-problem",IF(E102&gt;='Model Settings'!$E$68,"Financially vulnerable",IF(OR(N('Player Data'!BY102)&gt;=1,N('Player Data'!BX102)&gt;=2,N('Player Data'!BW102)&gt;=3),"Emotionally vulnerable","At-risk")))</f>
        <v>Non-problem</v>
      </c>
      <c r="I102" s="34" t="str">
        <f aca="false">IF(OR(N('Player Data'!BY102)&gt;=1,'Player Data'!BZ102="Yes"),"Alert","None")</f>
        <v>None</v>
      </c>
      <c r="J102" s="34" t="str">
        <f aca="false">IF(OR(B102&gt;='Model Settings'!$E$67,'Player Data'!BM102="Yes",I102="Alert"),"Suppress",IF(AND(B102&gt;='Model Settings'!$E$66,'Player Data'!G102="Yes"),"Review VIP","Allow"))</f>
        <v>Allow</v>
      </c>
      <c r="K102" s="50" t="n">
        <f aca="false">ROUND(100*((N('Player Data'!CH102)&gt;='Model Settings'!$E$52)*'Model Settings'!$F$52+(N('Player Data'!CI102)&gt;='Model Settings'!$E$53)*'Model Settings'!$F$53+(N('Player Data'!R102)&gt;='Model Settings'!$E$54)*'Model Settings'!$F$54+(N('Player Data'!Y102)&gt;='Model Settings'!$E$55)*'Model Settings'!$F$55+(N('Player Data'!AS102)&gt;='Model Settings'!$E$56)*'Model Settings'!$F$56)/('Model Settings'!$F$52+'Model Settings'!$F$53+'Model Settings'!$F$54+'Model Settings'!$F$55+'Model Settings'!$F$56),0)</f>
        <v>0</v>
      </c>
      <c r="L102" s="34" t="str">
        <f aca="false">IF('Player Data'!D102="Spain",ROUND(100*((N('Player Data'!H102)&gt;='Model Settings'!$E$57)*'Model Settings'!$F$57+(N('Player Data'!AI102)&gt;='Model Settings'!$E$58)*'Model Settings'!$F$58+(N('Player Data'!AL102)&gt;='Model Settings'!$E$59)*'Model Settings'!$F$59+(N('Player Data'!M102)&gt;='Model Settings'!$E$60)*'Model Settings'!$F$60+(N('Player Data'!X102)&lt;='Model Settings'!$E$61)*'Model Settings'!$F$61+(N('Player Data'!Y102)&gt;='Model Settings'!$E$62)*'Model Settings'!$F$62+(N('Player Data'!P102)&gt;='Model Settings'!$E$63)*'Model Settings'!$F$63)/('Model Settings'!$F$57+'Model Settings'!$F$58+'Model Settings'!$F$59+'Model Settings'!$F$60+'Model Settings'!$F$61+'Model Settings'!$F$62+'Model Settings'!$F$63),0),"n/a")</f>
        <v>n/a</v>
      </c>
      <c r="M102" s="34" t="str">
        <f aca="false">IF('Player Data'!CA102="None","No contact yet",IF('Player Data'!CA102="Improved","Working",IF('Player Data'!CA102="No change","Review approach","Escalate")))</f>
        <v>No contact yet</v>
      </c>
      <c r="N102" s="49" t="str">
        <f aca="false">IF(OR('Player Data'!BM102="Yes",I102="Alert"),"High",IF(B102&gt;='Model Settings'!$E$67,"High",IF(OR(B102&gt;='Model Settings'!$E$66,D102&gt;='Model Settings'!$E$68,F102&gt;='Model Settings'!$E$68,K102&gt;='Model Settings'!$E$68),"Medium","Low")))</f>
        <v>Low</v>
      </c>
      <c r="O102" s="34" t="str">
        <f aca="false">IF(N102="High","Contact player + review within 48h; stop marketing",IF(N102="Medium","Safer gambling message; monitor weekly","No action; routine monitoring"))</f>
        <v>No action; routine monitoring</v>
      </c>
      <c r="P102" s="34" t="n">
        <f aca="false">IF(OR(N102="High",AND('Model Settings'!$E$70="High+Medium",N102="Medium")),1,0)</f>
        <v>0</v>
      </c>
      <c r="Q102" s="34" t="n">
        <f aca="false">'Player Data'!CM102</f>
        <v>0</v>
      </c>
    </row>
    <row r="103" customFormat="false" ht="15" hidden="false" customHeight="false" outlineLevel="0" collapsed="false">
      <c r="A103" s="49" t="str">
        <f aca="false">'Player Data'!A103</f>
        <v>P098</v>
      </c>
      <c r="B103" s="50" t="n">
        <f aca="false">ROUND(100*((N('Player Data'!U103)&gt;='Model Settings'!$E$5)*'Model Settings'!$F$5+(N('Player Data'!AT103)&gt;='Model Settings'!$E$6)*'Model Settings'!$F$6+(N('Player Data'!BI103)&gt;='Model Settings'!$E$7)*'Model Settings'!$F$7+(N('Player Data'!AL103)&gt;='Model Settings'!$E$8)*'Model Settings'!$F$8+(N('Player Data'!AH103)&gt;='Model Settings'!$E$9)*'Model Settings'!$F$9+(N('Player Data'!B103)&lt;='Model Settings'!$E$10)*'Model Settings'!$F$10+(N('Player Data'!M103)&gt;='Model Settings'!$E$11)*'Model Settings'!$F$11+(N('Player Data'!J103)&lt;='Model Settings'!$E$12)*'Model Settings'!$F$12+(N('Player Data'!V103)&gt;='Model Settings'!$E$13)*'Model Settings'!$F$13+(N('Player Data'!W103)&gt;='Model Settings'!$E$14)*'Model Settings'!$F$14+(N('Player Data'!AE103)&gt;='Model Settings'!$E$15)*'Model Settings'!$F$15+(N('Player Data'!BF103)&gt;='Model Settings'!$E$16)*'Model Settings'!$F$16+(N('Player Data'!AX103)&gt;='Model Settings'!$E$17)*'Model Settings'!$F$17+(N('Player Data'!AP103)&gt;='Model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15</v>
      </c>
      <c r="C103" s="34" t="str">
        <f aca="false">IF('Player Data'!E103&lt;='Model Settings'!$E$69,ROUND(100*((N('Player Data'!H103)&gt;='Model Settings'!$E$19)*'Model Settings'!$F$19+(N('Player Data'!S103)&gt;='Model Settings'!$E$20)*'Model Settings'!$F$20+(N('Player Data'!AH103)&gt;='Model Settings'!$E$21)*'Model Settings'!$F$21+(N('Player Data'!AX103)&gt;='Model Settings'!$E$22)*'Model Settings'!$F$22+(N('Player Data'!Y103)&gt;='Model Settings'!$E$23)*'Model Settings'!$F$23+(N('Player Data'!AM103)&gt;='Model Settings'!$E$24)*'Model Settings'!$F$24)/('Model Settings'!$F$19+'Model Settings'!$F$20+'Model Settings'!$F$21+'Model Settings'!$F$22+'Model Settings'!$F$23+'Model Settings'!$F$24),0),"n/a")</f>
        <v>n/a</v>
      </c>
      <c r="D103" s="50" t="n">
        <f aca="false">ROUND(100*((N('Player Data'!U103)&gt;='Model Settings'!$E$25)*'Model Settings'!$F$25+(N('Player Data'!V103)&gt;='Model Settings'!$E$26)*'Model Settings'!$F$26+(N('Player Data'!W103)&gt;='Model Settings'!$E$27)*'Model Settings'!$F$27+(N('Player Data'!AT103)&gt;='Model Settings'!$E$28)*'Model Settings'!$F$28+(N('Player Data'!AE103)&gt;='Model Settings'!$E$29)*'Model Settings'!$F$29+(N('Player Data'!AO103)&gt;='Model Settings'!$E$30)*'Model Settings'!$F$30+(N('Player Data'!AG103)&gt;='Model Settings'!$E$31)*'Model Settings'!$F$31)/('Model Settings'!$F$25+'Model Settings'!$F$26+'Model Settings'!$F$27+'Model Settings'!$F$28+'Model Settings'!$F$29+'Model Settings'!$F$30+'Model Settings'!$F$31),0)</f>
        <v>0</v>
      </c>
      <c r="E103" s="50" t="n">
        <f aca="false">ROUND(100*((N('Player Data'!Z103)&gt;='Model Settings'!$E$32)*'Model Settings'!$F$32+(N('Player Data'!BN103)&gt;='Model Settings'!$E$33)*'Model Settings'!$F$33+(N('Player Data'!BO103)&gt;='Model Settings'!$E$34)*'Model Settings'!$F$34+(N('Player Data'!BP103)&gt;='Model Settings'!$E$35)*'Model Settings'!$F$35+('Player Data'!BR103='Model Settings'!$E$36)*'Model Settings'!$F$36+(N('Player Data'!AW103)&gt;='Model Settings'!$E$37)*'Model Settings'!$F$37+(N('Player Data'!AF103)&lt;='Model Settings'!$E$38)*'Model Settings'!$F$38)/('Model Settings'!$F$32+'Model Settings'!$F$33+'Model Settings'!$F$34+'Model Settings'!$F$35+'Model Settings'!$F$36+'Model Settings'!$F$37+'Model Settings'!$F$38),0)</f>
        <v>14</v>
      </c>
      <c r="F103" s="50" t="n">
        <f aca="false">ROUND(100*((N('Player Data'!K103)&gt;='Model Settings'!$E$39)*'Model Settings'!$F$39+(N('Player Data'!P103)&gt;='Model Settings'!$E$40)*'Model Settings'!$F$40+(N('Player Data'!M103)&gt;='Model Settings'!$E$41)*'Model Settings'!$F$41+(N('Player Data'!AU103)&gt;='Model Settings'!$E$42)*'Model Settings'!$F$42+(N('Player Data'!CL103)&gt;='Model Settings'!$E$43)*'Model Settings'!$F$43+(N('Player Data'!Q103)&gt;='Model Settings'!$E$44)*'Model Settings'!$F$44)/('Model Settings'!$F$39+'Model Settings'!$F$40+'Model Settings'!$F$41+'Model Settings'!$F$42+'Model Settings'!$F$43+'Model Settings'!$F$44),0)</f>
        <v>17</v>
      </c>
      <c r="G103" s="50" t="n">
        <f aca="false">ROUND(100*((N('Player Data'!BE103)&gt;='Model Settings'!$E$45)*'Model Settings'!$F$45+(N('Player Data'!BH103)&gt;='Model Settings'!$E$46)*'Model Settings'!$F$46+(N('Player Data'!U103)&gt;='Model Settings'!$E$47)*'Model Settings'!$F$47+(N('Player Data'!BN103)&gt;='Model Settings'!$E$48)*'Model Settings'!$F$48+(N('Player Data'!AX103)&gt;='Model Settings'!$E$49)*'Model Settings'!$F$49+(N('Player Data'!BL103)&gt;='Model Settings'!$E$50)*'Model Settings'!$F$50+(N('Player Data'!BI103)&gt;='Model Settings'!$E$51)*'Model Settings'!$F$51)/('Model Settings'!$F$45+'Model Settings'!$F$46+'Model Settings'!$F$47+'Model Settings'!$F$48+'Model Settings'!$F$49+'Model Settings'!$F$50+'Model Settings'!$F$51),0)</f>
        <v>14</v>
      </c>
      <c r="H103" s="34" t="str">
        <f aca="false">IF(AND(B103&lt;'Model Settings'!$E$66,E103&lt;'Model Settings'!$E$68),"Non-problem",IF(E103&gt;='Model Settings'!$E$68,"Financially vulnerable",IF(OR(N('Player Data'!BY103)&gt;=1,N('Player Data'!BX103)&gt;=2,N('Player Data'!BW103)&gt;=3),"Emotionally vulnerable","At-risk")))</f>
        <v>Non-problem</v>
      </c>
      <c r="I103" s="34" t="str">
        <f aca="false">IF(OR(N('Player Data'!BY103)&gt;=1,'Player Data'!BZ103="Yes"),"Alert","None")</f>
        <v>None</v>
      </c>
      <c r="J103" s="34" t="str">
        <f aca="false">IF(OR(B103&gt;='Model Settings'!$E$67,'Player Data'!BM103="Yes",I103="Alert"),"Suppress",IF(AND(B103&gt;='Model Settings'!$E$66,'Player Data'!G103="Yes"),"Review VIP","Allow"))</f>
        <v>Allow</v>
      </c>
      <c r="K103" s="50" t="n">
        <f aca="false">ROUND(100*((N('Player Data'!CH103)&gt;='Model Settings'!$E$52)*'Model Settings'!$F$52+(N('Player Data'!CI103)&gt;='Model Settings'!$E$53)*'Model Settings'!$F$53+(N('Player Data'!R103)&gt;='Model Settings'!$E$54)*'Model Settings'!$F$54+(N('Player Data'!Y103)&gt;='Model Settings'!$E$55)*'Model Settings'!$F$55+(N('Player Data'!AS103)&gt;='Model Settings'!$E$56)*'Model Settings'!$F$56)/('Model Settings'!$F$52+'Model Settings'!$F$53+'Model Settings'!$F$54+'Model Settings'!$F$55+'Model Settings'!$F$56),0)</f>
        <v>0</v>
      </c>
      <c r="L103" s="34" t="str">
        <f aca="false">IF('Player Data'!D103="Spain",ROUND(100*((N('Player Data'!H103)&gt;='Model Settings'!$E$57)*'Model Settings'!$F$57+(N('Player Data'!AI103)&gt;='Model Settings'!$E$58)*'Model Settings'!$F$58+(N('Player Data'!AL103)&gt;='Model Settings'!$E$59)*'Model Settings'!$F$59+(N('Player Data'!M103)&gt;='Model Settings'!$E$60)*'Model Settings'!$F$60+(N('Player Data'!X103)&lt;='Model Settings'!$E$61)*'Model Settings'!$F$61+(N('Player Data'!Y103)&gt;='Model Settings'!$E$62)*'Model Settings'!$F$62+(N('Player Data'!P103)&gt;='Model Settings'!$E$63)*'Model Settings'!$F$63)/('Model Settings'!$F$57+'Model Settings'!$F$58+'Model Settings'!$F$59+'Model Settings'!$F$60+'Model Settings'!$F$61+'Model Settings'!$F$62+'Model Settings'!$F$63),0),"n/a")</f>
        <v>n/a</v>
      </c>
      <c r="M103" s="34" t="str">
        <f aca="false">IF('Player Data'!CA103="None","No contact yet",IF('Player Data'!CA103="Improved","Working",IF('Player Data'!CA103="No change","Review approach","Escalate")))</f>
        <v>No contact yet</v>
      </c>
      <c r="N103" s="49" t="str">
        <f aca="false">IF(OR('Player Data'!BM103="Yes",I103="Alert"),"High",IF(B103&gt;='Model Settings'!$E$67,"High",IF(OR(B103&gt;='Model Settings'!$E$66,D103&gt;='Model Settings'!$E$68,F103&gt;='Model Settings'!$E$68,K103&gt;='Model Settings'!$E$68),"Medium","Low")))</f>
        <v>Low</v>
      </c>
      <c r="O103" s="34" t="str">
        <f aca="false">IF(N103="High","Contact player + review within 48h; stop marketing",IF(N103="Medium","Safer gambling message; monitor weekly","No action; routine monitoring"))</f>
        <v>No action; routine monitoring</v>
      </c>
      <c r="P103" s="34" t="n">
        <f aca="false">IF(OR(N103="High",AND('Model Settings'!$E$70="High+Medium",N103="Medium")),1,0)</f>
        <v>0</v>
      </c>
      <c r="Q103" s="34" t="n">
        <f aca="false">'Player Data'!CM103</f>
        <v>1</v>
      </c>
    </row>
    <row r="104" customFormat="false" ht="15" hidden="false" customHeight="false" outlineLevel="0" collapsed="false">
      <c r="A104" s="49" t="str">
        <f aca="false">'Player Data'!A104</f>
        <v>P099</v>
      </c>
      <c r="B104" s="50" t="n">
        <f aca="false">ROUND(100*((N('Player Data'!U104)&gt;='Model Settings'!$E$5)*'Model Settings'!$F$5+(N('Player Data'!AT104)&gt;='Model Settings'!$E$6)*'Model Settings'!$F$6+(N('Player Data'!BI104)&gt;='Model Settings'!$E$7)*'Model Settings'!$F$7+(N('Player Data'!AL104)&gt;='Model Settings'!$E$8)*'Model Settings'!$F$8+(N('Player Data'!AH104)&gt;='Model Settings'!$E$9)*'Model Settings'!$F$9+(N('Player Data'!B104)&lt;='Model Settings'!$E$10)*'Model Settings'!$F$10+(N('Player Data'!M104)&gt;='Model Settings'!$E$11)*'Model Settings'!$F$11+(N('Player Data'!J104)&lt;='Model Settings'!$E$12)*'Model Settings'!$F$12+(N('Player Data'!V104)&gt;='Model Settings'!$E$13)*'Model Settings'!$F$13+(N('Player Data'!W104)&gt;='Model Settings'!$E$14)*'Model Settings'!$F$14+(N('Player Data'!AE104)&gt;='Model Settings'!$E$15)*'Model Settings'!$F$15+(N('Player Data'!BF104)&gt;='Model Settings'!$E$16)*'Model Settings'!$F$16+(N('Player Data'!AX104)&gt;='Model Settings'!$E$17)*'Model Settings'!$F$17+(N('Player Data'!AP104)&gt;='Model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0</v>
      </c>
      <c r="C104" s="34" t="n">
        <f aca="false">IF('Player Data'!E104&lt;='Model Settings'!$E$69,ROUND(100*((N('Player Data'!H104)&gt;='Model Settings'!$E$19)*'Model Settings'!$F$19+(N('Player Data'!S104)&gt;='Model Settings'!$E$20)*'Model Settings'!$F$20+(N('Player Data'!AH104)&gt;='Model Settings'!$E$21)*'Model Settings'!$F$21+(N('Player Data'!AX104)&gt;='Model Settings'!$E$22)*'Model Settings'!$F$22+(N('Player Data'!Y104)&gt;='Model Settings'!$E$23)*'Model Settings'!$F$23+(N('Player Data'!AM104)&gt;='Model Settings'!$E$24)*'Model Settings'!$F$24)/('Model Settings'!$F$19+'Model Settings'!$F$20+'Model Settings'!$F$21+'Model Settings'!$F$22+'Model Settings'!$F$23+'Model Settings'!$F$24),0),"n/a")</f>
        <v>0</v>
      </c>
      <c r="D104" s="50" t="n">
        <f aca="false">ROUND(100*((N('Player Data'!U104)&gt;='Model Settings'!$E$25)*'Model Settings'!$F$25+(N('Player Data'!V104)&gt;='Model Settings'!$E$26)*'Model Settings'!$F$26+(N('Player Data'!W104)&gt;='Model Settings'!$E$27)*'Model Settings'!$F$27+(N('Player Data'!AT104)&gt;='Model Settings'!$E$28)*'Model Settings'!$F$28+(N('Player Data'!AE104)&gt;='Model Settings'!$E$29)*'Model Settings'!$F$29+(N('Player Data'!AO104)&gt;='Model Settings'!$E$30)*'Model Settings'!$F$30+(N('Player Data'!AG104)&gt;='Model Settings'!$E$31)*'Model Settings'!$F$31)/('Model Settings'!$F$25+'Model Settings'!$F$26+'Model Settings'!$F$27+'Model Settings'!$F$28+'Model Settings'!$F$29+'Model Settings'!$F$30+'Model Settings'!$F$31),0)</f>
        <v>0</v>
      </c>
      <c r="E104" s="50" t="n">
        <f aca="false">ROUND(100*((N('Player Data'!Z104)&gt;='Model Settings'!$E$32)*'Model Settings'!$F$32+(N('Player Data'!BN104)&gt;='Model Settings'!$E$33)*'Model Settings'!$F$33+(N('Player Data'!BO104)&gt;='Model Settings'!$E$34)*'Model Settings'!$F$34+(N('Player Data'!BP104)&gt;='Model Settings'!$E$35)*'Model Settings'!$F$35+('Player Data'!BR104='Model Settings'!$E$36)*'Model Settings'!$F$36+(N('Player Data'!AW104)&gt;='Model Settings'!$E$37)*'Model Settings'!$F$37+(N('Player Data'!AF104)&lt;='Model Settings'!$E$38)*'Model Settings'!$F$38)/('Model Settings'!$F$32+'Model Settings'!$F$33+'Model Settings'!$F$34+'Model Settings'!$F$35+'Model Settings'!$F$36+'Model Settings'!$F$37+'Model Settings'!$F$38),0)</f>
        <v>0</v>
      </c>
      <c r="F104" s="50" t="n">
        <f aca="false">ROUND(100*((N('Player Data'!K104)&gt;='Model Settings'!$E$39)*'Model Settings'!$F$39+(N('Player Data'!P104)&gt;='Model Settings'!$E$40)*'Model Settings'!$F$40+(N('Player Data'!M104)&gt;='Model Settings'!$E$41)*'Model Settings'!$F$41+(N('Player Data'!AU104)&gt;='Model Settings'!$E$42)*'Model Settings'!$F$42+(N('Player Data'!CL104)&gt;='Model Settings'!$E$43)*'Model Settings'!$F$43+(N('Player Data'!Q104)&gt;='Model Settings'!$E$44)*'Model Settings'!$F$44)/('Model Settings'!$F$39+'Model Settings'!$F$40+'Model Settings'!$F$41+'Model Settings'!$F$42+'Model Settings'!$F$43+'Model Settings'!$F$44),0)</f>
        <v>0</v>
      </c>
      <c r="G104" s="50" t="n">
        <f aca="false">ROUND(100*((N('Player Data'!BE104)&gt;='Model Settings'!$E$45)*'Model Settings'!$F$45+(N('Player Data'!BH104)&gt;='Model Settings'!$E$46)*'Model Settings'!$F$46+(N('Player Data'!U104)&gt;='Model Settings'!$E$47)*'Model Settings'!$F$47+(N('Player Data'!BN104)&gt;='Model Settings'!$E$48)*'Model Settings'!$F$48+(N('Player Data'!AX104)&gt;='Model Settings'!$E$49)*'Model Settings'!$F$49+(N('Player Data'!BL104)&gt;='Model Settings'!$E$50)*'Model Settings'!$F$50+(N('Player Data'!BI104)&gt;='Model Settings'!$E$51)*'Model Settings'!$F$51)/('Model Settings'!$F$45+'Model Settings'!$F$46+'Model Settings'!$F$47+'Model Settings'!$F$48+'Model Settings'!$F$49+'Model Settings'!$F$50+'Model Settings'!$F$51),0)</f>
        <v>14</v>
      </c>
      <c r="H104" s="34" t="str">
        <f aca="false">IF(AND(B104&lt;'Model Settings'!$E$66,E104&lt;'Model Settings'!$E$68),"Non-problem",IF(E104&gt;='Model Settings'!$E$68,"Financially vulnerable",IF(OR(N('Player Data'!BY104)&gt;=1,N('Player Data'!BX104)&gt;=2,N('Player Data'!BW104)&gt;=3),"Emotionally vulnerable","At-risk")))</f>
        <v>Non-problem</v>
      </c>
      <c r="I104" s="34" t="str">
        <f aca="false">IF(OR(N('Player Data'!BY104)&gt;=1,'Player Data'!BZ104="Yes"),"Alert","None")</f>
        <v>None</v>
      </c>
      <c r="J104" s="34" t="str">
        <f aca="false">IF(OR(B104&gt;='Model Settings'!$E$67,'Player Data'!BM104="Yes",I104="Alert"),"Suppress",IF(AND(B104&gt;='Model Settings'!$E$66,'Player Data'!G104="Yes"),"Review VIP","Allow"))</f>
        <v>Allow</v>
      </c>
      <c r="K104" s="50" t="n">
        <f aca="false">ROUND(100*((N('Player Data'!CH104)&gt;='Model Settings'!$E$52)*'Model Settings'!$F$52+(N('Player Data'!CI104)&gt;='Model Settings'!$E$53)*'Model Settings'!$F$53+(N('Player Data'!R104)&gt;='Model Settings'!$E$54)*'Model Settings'!$F$54+(N('Player Data'!Y104)&gt;='Model Settings'!$E$55)*'Model Settings'!$F$55+(N('Player Data'!AS104)&gt;='Model Settings'!$E$56)*'Model Settings'!$F$56)/('Model Settings'!$F$52+'Model Settings'!$F$53+'Model Settings'!$F$54+'Model Settings'!$F$55+'Model Settings'!$F$56),0)</f>
        <v>0</v>
      </c>
      <c r="L104" s="34" t="str">
        <f aca="false">IF('Player Data'!D104="Spain",ROUND(100*((N('Player Data'!H104)&gt;='Model Settings'!$E$57)*'Model Settings'!$F$57+(N('Player Data'!AI104)&gt;='Model Settings'!$E$58)*'Model Settings'!$F$58+(N('Player Data'!AL104)&gt;='Model Settings'!$E$59)*'Model Settings'!$F$59+(N('Player Data'!M104)&gt;='Model Settings'!$E$60)*'Model Settings'!$F$60+(N('Player Data'!X104)&lt;='Model Settings'!$E$61)*'Model Settings'!$F$61+(N('Player Data'!Y104)&gt;='Model Settings'!$E$62)*'Model Settings'!$F$62+(N('Player Data'!P104)&gt;='Model Settings'!$E$63)*'Model Settings'!$F$63)/('Model Settings'!$F$57+'Model Settings'!$F$58+'Model Settings'!$F$59+'Model Settings'!$F$60+'Model Settings'!$F$61+'Model Settings'!$F$62+'Model Settings'!$F$63),0),"n/a")</f>
        <v>n/a</v>
      </c>
      <c r="M104" s="34" t="str">
        <f aca="false">IF('Player Data'!CA104="None","No contact yet",IF('Player Data'!CA104="Improved","Working",IF('Player Data'!CA104="No change","Review approach","Escalate")))</f>
        <v>No contact yet</v>
      </c>
      <c r="N104" s="49" t="str">
        <f aca="false">IF(OR('Player Data'!BM104="Yes",I104="Alert"),"High",IF(B104&gt;='Model Settings'!$E$67,"High",IF(OR(B104&gt;='Model Settings'!$E$66,D104&gt;='Model Settings'!$E$68,F104&gt;='Model Settings'!$E$68,K104&gt;='Model Settings'!$E$68),"Medium","Low")))</f>
        <v>Low</v>
      </c>
      <c r="O104" s="34" t="str">
        <f aca="false">IF(N104="High","Contact player + review within 48h; stop marketing",IF(N104="Medium","Safer gambling message; monitor weekly","No action; routine monitoring"))</f>
        <v>No action; routine monitoring</v>
      </c>
      <c r="P104" s="34" t="n">
        <f aca="false">IF(OR(N104="High",AND('Model Settings'!$E$70="High+Medium",N104="Medium")),1,0)</f>
        <v>0</v>
      </c>
      <c r="Q104" s="34" t="n">
        <f aca="false">'Player Data'!CM104</f>
        <v>0</v>
      </c>
    </row>
    <row r="105" customFormat="false" ht="15" hidden="false" customHeight="false" outlineLevel="0" collapsed="false">
      <c r="A105" s="49" t="str">
        <f aca="false">'Player Data'!A105</f>
        <v>P100</v>
      </c>
      <c r="B105" s="50" t="n">
        <f aca="false">ROUND(100*((N('Player Data'!U105)&gt;='Model Settings'!$E$5)*'Model Settings'!$F$5+(N('Player Data'!AT105)&gt;='Model Settings'!$E$6)*'Model Settings'!$F$6+(N('Player Data'!BI105)&gt;='Model Settings'!$E$7)*'Model Settings'!$F$7+(N('Player Data'!AL105)&gt;='Model Settings'!$E$8)*'Model Settings'!$F$8+(N('Player Data'!AH105)&gt;='Model Settings'!$E$9)*'Model Settings'!$F$9+(N('Player Data'!B105)&lt;='Model Settings'!$E$10)*'Model Settings'!$F$10+(N('Player Data'!M105)&gt;='Model Settings'!$E$11)*'Model Settings'!$F$11+(N('Player Data'!J105)&lt;='Model Settings'!$E$12)*'Model Settings'!$F$12+(N('Player Data'!V105)&gt;='Model Settings'!$E$13)*'Model Settings'!$F$13+(N('Player Data'!W105)&gt;='Model Settings'!$E$14)*'Model Settings'!$F$14+(N('Player Data'!AE105)&gt;='Model Settings'!$E$15)*'Model Settings'!$F$15+(N('Player Data'!BF105)&gt;='Model Settings'!$E$16)*'Model Settings'!$F$16+(N('Player Data'!AX105)&gt;='Model Settings'!$E$17)*'Model Settings'!$F$17+(N('Player Data'!AP105)&gt;='Model Settings'!$E$18)*'Model Settings'!$F$18)/('Model Settings'!$F$5+'Model Settings'!$F$6+'Model Settings'!$F$7+'Model Settings'!$F$8+'Model Settings'!$F$9+'Model Settings'!$F$10+'Model Settings'!$F$11+'Model Settings'!$F$12+'Model Settings'!$F$13+'Model Settings'!$F$14+'Model Settings'!$F$15+'Model Settings'!$F$16+'Model Settings'!$F$17+'Model Settings'!$F$18),0)</f>
        <v>7</v>
      </c>
      <c r="C105" s="34" t="str">
        <f aca="false">IF('Player Data'!E105&lt;='Model Settings'!$E$69,ROUND(100*((N('Player Data'!H105)&gt;='Model Settings'!$E$19)*'Model Settings'!$F$19+(N('Player Data'!S105)&gt;='Model Settings'!$E$20)*'Model Settings'!$F$20+(N('Player Data'!AH105)&gt;='Model Settings'!$E$21)*'Model Settings'!$F$21+(N('Player Data'!AX105)&gt;='Model Settings'!$E$22)*'Model Settings'!$F$22+(N('Player Data'!Y105)&gt;='Model Settings'!$E$23)*'Model Settings'!$F$23+(N('Player Data'!AM105)&gt;='Model Settings'!$E$24)*'Model Settings'!$F$24)/('Model Settings'!$F$19+'Model Settings'!$F$20+'Model Settings'!$F$21+'Model Settings'!$F$22+'Model Settings'!$F$23+'Model Settings'!$F$24),0),"n/a")</f>
        <v>n/a</v>
      </c>
      <c r="D105" s="50" t="n">
        <f aca="false">ROUND(100*((N('Player Data'!U105)&gt;='Model Settings'!$E$25)*'Model Settings'!$F$25+(N('Player Data'!V105)&gt;='Model Settings'!$E$26)*'Model Settings'!$F$26+(N('Player Data'!W105)&gt;='Model Settings'!$E$27)*'Model Settings'!$F$27+(N('Player Data'!AT105)&gt;='Model Settings'!$E$28)*'Model Settings'!$F$28+(N('Player Data'!AE105)&gt;='Model Settings'!$E$29)*'Model Settings'!$F$29+(N('Player Data'!AO105)&gt;='Model Settings'!$E$30)*'Model Settings'!$F$30+(N('Player Data'!AG105)&gt;='Model Settings'!$E$31)*'Model Settings'!$F$31)/('Model Settings'!$F$25+'Model Settings'!$F$26+'Model Settings'!$F$27+'Model Settings'!$F$28+'Model Settings'!$F$29+'Model Settings'!$F$30+'Model Settings'!$F$31),0)</f>
        <v>0</v>
      </c>
      <c r="E105" s="50" t="n">
        <f aca="false">ROUND(100*((N('Player Data'!Z105)&gt;='Model Settings'!$E$32)*'Model Settings'!$F$32+(N('Player Data'!BN105)&gt;='Model Settings'!$E$33)*'Model Settings'!$F$33+(N('Player Data'!BO105)&gt;='Model Settings'!$E$34)*'Model Settings'!$F$34+(N('Player Data'!BP105)&gt;='Model Settings'!$E$35)*'Model Settings'!$F$35+('Player Data'!BR105='Model Settings'!$E$36)*'Model Settings'!$F$36+(N('Player Data'!AW105)&gt;='Model Settings'!$E$37)*'Model Settings'!$F$37+(N('Player Data'!AF105)&lt;='Model Settings'!$E$38)*'Model Settings'!$F$38)/('Model Settings'!$F$32+'Model Settings'!$F$33+'Model Settings'!$F$34+'Model Settings'!$F$35+'Model Settings'!$F$36+'Model Settings'!$F$37+'Model Settings'!$F$38),0)</f>
        <v>0</v>
      </c>
      <c r="F105" s="50" t="n">
        <f aca="false">ROUND(100*((N('Player Data'!K105)&gt;='Model Settings'!$E$39)*'Model Settings'!$F$39+(N('Player Data'!P105)&gt;='Model Settings'!$E$40)*'Model Settings'!$F$40+(N('Player Data'!M105)&gt;='Model Settings'!$E$41)*'Model Settings'!$F$41+(N('Player Data'!AU105)&gt;='Model Settings'!$E$42)*'Model Settings'!$F$42+(N('Player Data'!CL105)&gt;='Model Settings'!$E$43)*'Model Settings'!$F$43+(N('Player Data'!Q105)&gt;='Model Settings'!$E$44)*'Model Settings'!$F$44)/('Model Settings'!$F$39+'Model Settings'!$F$40+'Model Settings'!$F$41+'Model Settings'!$F$42+'Model Settings'!$F$43+'Model Settings'!$F$44),0)</f>
        <v>0</v>
      </c>
      <c r="G105" s="50" t="n">
        <f aca="false">ROUND(100*((N('Player Data'!BE105)&gt;='Model Settings'!$E$45)*'Model Settings'!$F$45+(N('Player Data'!BH105)&gt;='Model Settings'!$E$46)*'Model Settings'!$F$46+(N('Player Data'!U105)&gt;='Model Settings'!$E$47)*'Model Settings'!$F$47+(N('Player Data'!BN105)&gt;='Model Settings'!$E$48)*'Model Settings'!$F$48+(N('Player Data'!AX105)&gt;='Model Settings'!$E$49)*'Model Settings'!$F$49+(N('Player Data'!BL105)&gt;='Model Settings'!$E$50)*'Model Settings'!$F$50+(N('Player Data'!BI105)&gt;='Model Settings'!$E$51)*'Model Settings'!$F$51)/('Model Settings'!$F$45+'Model Settings'!$F$46+'Model Settings'!$F$47+'Model Settings'!$F$48+'Model Settings'!$F$49+'Model Settings'!$F$50+'Model Settings'!$F$51),0)</f>
        <v>0</v>
      </c>
      <c r="H105" s="34" t="str">
        <f aca="false">IF(AND(B105&lt;'Model Settings'!$E$66,E105&lt;'Model Settings'!$E$68),"Non-problem",IF(E105&gt;='Model Settings'!$E$68,"Financially vulnerable",IF(OR(N('Player Data'!BY105)&gt;=1,N('Player Data'!BX105)&gt;=2,N('Player Data'!BW105)&gt;=3),"Emotionally vulnerable","At-risk")))</f>
        <v>Non-problem</v>
      </c>
      <c r="I105" s="34" t="str">
        <f aca="false">IF(OR(N('Player Data'!BY105)&gt;=1,'Player Data'!BZ105="Yes"),"Alert","None")</f>
        <v>None</v>
      </c>
      <c r="J105" s="34" t="str">
        <f aca="false">IF(OR(B105&gt;='Model Settings'!$E$67,'Player Data'!BM105="Yes",I105="Alert"),"Suppress",IF(AND(B105&gt;='Model Settings'!$E$66,'Player Data'!G105="Yes"),"Review VIP","Allow"))</f>
        <v>Allow</v>
      </c>
      <c r="K105" s="50" t="n">
        <f aca="false">ROUND(100*((N('Player Data'!CH105)&gt;='Model Settings'!$E$52)*'Model Settings'!$F$52+(N('Player Data'!CI105)&gt;='Model Settings'!$E$53)*'Model Settings'!$F$53+(N('Player Data'!R105)&gt;='Model Settings'!$E$54)*'Model Settings'!$F$54+(N('Player Data'!Y105)&gt;='Model Settings'!$E$55)*'Model Settings'!$F$55+(N('Player Data'!AS105)&gt;='Model Settings'!$E$56)*'Model Settings'!$F$56)/('Model Settings'!$F$52+'Model Settings'!$F$53+'Model Settings'!$F$54+'Model Settings'!$F$55+'Model Settings'!$F$56),0)</f>
        <v>0</v>
      </c>
      <c r="L105" s="34" t="str">
        <f aca="false">IF('Player Data'!D105="Spain",ROUND(100*((N('Player Data'!H105)&gt;='Model Settings'!$E$57)*'Model Settings'!$F$57+(N('Player Data'!AI105)&gt;='Model Settings'!$E$58)*'Model Settings'!$F$58+(N('Player Data'!AL105)&gt;='Model Settings'!$E$59)*'Model Settings'!$F$59+(N('Player Data'!M105)&gt;='Model Settings'!$E$60)*'Model Settings'!$F$60+(N('Player Data'!X105)&lt;='Model Settings'!$E$61)*'Model Settings'!$F$61+(N('Player Data'!Y105)&gt;='Model Settings'!$E$62)*'Model Settings'!$F$62+(N('Player Data'!P105)&gt;='Model Settings'!$E$63)*'Model Settings'!$F$63)/('Model Settings'!$F$57+'Model Settings'!$F$58+'Model Settings'!$F$59+'Model Settings'!$F$60+'Model Settings'!$F$61+'Model Settings'!$F$62+'Model Settings'!$F$63),0),"n/a")</f>
        <v>n/a</v>
      </c>
      <c r="M105" s="34" t="str">
        <f aca="false">IF('Player Data'!CA105="None","No contact yet",IF('Player Data'!CA105="Improved","Working",IF('Player Data'!CA105="No change","Review approach","Escalate")))</f>
        <v>No contact yet</v>
      </c>
      <c r="N105" s="49" t="str">
        <f aca="false">IF(OR('Player Data'!BM105="Yes",I105="Alert"),"High",IF(B105&gt;='Model Settings'!$E$67,"High",IF(OR(B105&gt;='Model Settings'!$E$66,D105&gt;='Model Settings'!$E$68,F105&gt;='Model Settings'!$E$68,K105&gt;='Model Settings'!$E$68),"Medium","Low")))</f>
        <v>Low</v>
      </c>
      <c r="O105" s="34" t="str">
        <f aca="false">IF(N105="High","Contact player + review within 48h; stop marketing",IF(N105="Medium","Safer gambling message; monitor weekly","No action; routine monitoring"))</f>
        <v>No action; routine monitoring</v>
      </c>
      <c r="P105" s="34" t="n">
        <f aca="false">IF(OR(N105="High",AND('Model Settings'!$E$70="High+Medium",N105="Medium")),1,0)</f>
        <v>0</v>
      </c>
      <c r="Q105" s="34" t="n">
        <f aca="false">'Player Data'!CM105</f>
        <v>0</v>
      </c>
    </row>
  </sheetData>
  <conditionalFormatting sqref="N6:N10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B6:B105">
    <cfRule type="expression" priority="5" aboveAverage="0" equalAverage="0" bottom="0" percent="0" rank="0" text="" dxfId="3">
      <formula>AND(ISNUMBER(B6),B6&gt;=50)</formula>
    </cfRule>
    <cfRule type="expression" priority="6" aboveAverage="0" equalAverage="0" bottom="0" percent="0" rank="0" text="" dxfId="4">
      <formula>AND(ISNUMBER(B6),B6&gt;=25,B6&lt;50)</formula>
    </cfRule>
  </conditionalFormatting>
  <conditionalFormatting sqref="C6:C105">
    <cfRule type="expression" priority="7" aboveAverage="0" equalAverage="0" bottom="0" percent="0" rank="0" text="" dxfId="3">
      <formula>AND(ISNUMBER(C6),C6&gt;=50)</formula>
    </cfRule>
    <cfRule type="expression" priority="8" aboveAverage="0" equalAverage="0" bottom="0" percent="0" rank="0" text="" dxfId="4">
      <formula>AND(ISNUMBER(C6),C6&gt;=25,C6&lt;50)</formula>
    </cfRule>
  </conditionalFormatting>
  <conditionalFormatting sqref="D6:D105">
    <cfRule type="expression" priority="9" aboveAverage="0" equalAverage="0" bottom="0" percent="0" rank="0" text="" dxfId="3">
      <formula>AND(ISNUMBER(D6),D6&gt;=50)</formula>
    </cfRule>
    <cfRule type="expression" priority="10" aboveAverage="0" equalAverage="0" bottom="0" percent="0" rank="0" text="" dxfId="4">
      <formula>AND(ISNUMBER(D6),D6&gt;=25,D6&lt;50)</formula>
    </cfRule>
  </conditionalFormatting>
  <conditionalFormatting sqref="E6:E105">
    <cfRule type="expression" priority="11" aboveAverage="0" equalAverage="0" bottom="0" percent="0" rank="0" text="" dxfId="3">
      <formula>AND(ISNUMBER(E6),E6&gt;=50)</formula>
    </cfRule>
    <cfRule type="expression" priority="12" aboveAverage="0" equalAverage="0" bottom="0" percent="0" rank="0" text="" dxfId="4">
      <formula>AND(ISNUMBER(E6),E6&gt;=25,E6&lt;50)</formula>
    </cfRule>
  </conditionalFormatting>
  <conditionalFormatting sqref="F6:F105">
    <cfRule type="expression" priority="13" aboveAverage="0" equalAverage="0" bottom="0" percent="0" rank="0" text="" dxfId="3">
      <formula>AND(ISNUMBER(F6),F6&gt;=50)</formula>
    </cfRule>
    <cfRule type="expression" priority="14" aboveAverage="0" equalAverage="0" bottom="0" percent="0" rank="0" text="" dxfId="4">
      <formula>AND(ISNUMBER(F6),F6&gt;=25,F6&lt;50)</formula>
    </cfRule>
  </conditionalFormatting>
  <conditionalFormatting sqref="G6:G105">
    <cfRule type="expression" priority="15" aboveAverage="0" equalAverage="0" bottom="0" percent="0" rank="0" text="" dxfId="3">
      <formula>AND(ISNUMBER(G6),G6&gt;=50)</formula>
    </cfRule>
    <cfRule type="expression" priority="16" aboveAverage="0" equalAverage="0" bottom="0" percent="0" rank="0" text="" dxfId="4">
      <formula>AND(ISNUMBER(G6),G6&gt;=25,G6&lt;50)</formula>
    </cfRule>
  </conditionalFormatting>
  <conditionalFormatting sqref="K6:K105">
    <cfRule type="expression" priority="17" aboveAverage="0" equalAverage="0" bottom="0" percent="0" rank="0" text="" dxfId="3">
      <formula>AND(ISNUMBER(K6),K6&gt;=50)</formula>
    </cfRule>
    <cfRule type="expression" priority="18" aboveAverage="0" equalAverage="0" bottom="0" percent="0" rank="0" text="" dxfId="4">
      <formula>AND(ISNUMBER(K6),K6&gt;=25,K6&lt;50)</formula>
    </cfRule>
  </conditionalFormatting>
  <conditionalFormatting sqref="L6:L105">
    <cfRule type="expression" priority="19" aboveAverage="0" equalAverage="0" bottom="0" percent="0" rank="0" text="" dxfId="3">
      <formula>AND(ISNUMBER(L6),L6&gt;=50)</formula>
    </cfRule>
    <cfRule type="expression" priority="20" aboveAverage="0" equalAverage="0" bottom="0" percent="0" rank="0" text="" dxfId="4">
      <formula>AND(ISNUMBER(L6),L6&gt;=25,L6&lt;50)</formula>
    </cfRule>
  </conditionalFormatting>
  <conditionalFormatting sqref="I6:I105">
    <cfRule type="cellIs" priority="21" operator="equal" aboveAverage="0" equalAverage="0" bottom="0" percent="0" rank="0" text="" dxfId="0">
      <formula>"Alert"</formula>
    </cfRule>
  </conditionalFormatting>
  <conditionalFormatting sqref="J6:J105">
    <cfRule type="cellIs" priority="22" operator="equal" aboveAverage="0" equalAverage="0" bottom="0" percent="0" rank="0" text="" dxfId="0">
      <formula>"Suppress"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441</v>
      </c>
    </row>
    <row r="2" customFormat="false" ht="15" hidden="false" customHeight="false" outlineLevel="0" collapsed="false">
      <c r="A2" s="4" t="s">
        <v>442</v>
      </c>
    </row>
    <row r="4" customFormat="false" ht="15" hidden="false" customHeight="false" outlineLevel="0" collapsed="false">
      <c r="A4" s="51" t="s">
        <v>443</v>
      </c>
      <c r="B4" s="38" t="str">
        <f aca="false">'Model Settings'!$E$70</f>
        <v>High</v>
      </c>
    </row>
    <row r="5" customFormat="false" ht="15" hidden="false" customHeight="false" outlineLevel="0" collapsed="false">
      <c r="A5" s="51" t="s">
        <v>444</v>
      </c>
      <c r="B5" s="38" t="n">
        <f aca="false">COUNTIFS('Model Results'!$P$6:$P$105,1,'Model Results'!$Q$6:$Q$105,1)</f>
        <v>10</v>
      </c>
    </row>
    <row r="6" customFormat="false" ht="15" hidden="false" customHeight="false" outlineLevel="0" collapsed="false">
      <c r="A6" s="51" t="s">
        <v>445</v>
      </c>
      <c r="B6" s="38" t="n">
        <f aca="false">COUNTIFS('Model Results'!$P$6:$P$105,1,'Model Results'!$Q$6:$Q$105,0)</f>
        <v>7</v>
      </c>
    </row>
    <row r="7" customFormat="false" ht="15" hidden="false" customHeight="false" outlineLevel="0" collapsed="false">
      <c r="A7" s="51" t="s">
        <v>446</v>
      </c>
      <c r="B7" s="38" t="n">
        <f aca="false">COUNTIFS('Model Results'!$P$6:$P$105,0,'Model Results'!$Q$6:$Q$105,1)</f>
        <v>9</v>
      </c>
    </row>
    <row r="8" customFormat="false" ht="15" hidden="false" customHeight="false" outlineLevel="0" collapsed="false">
      <c r="A8" s="51" t="s">
        <v>447</v>
      </c>
      <c r="B8" s="38" t="n">
        <f aca="false">COUNTIFS('Model Results'!$P$6:$P$105,0,'Model Results'!$Q$6:$Q$105,0)</f>
        <v>74</v>
      </c>
    </row>
    <row r="9" customFormat="false" ht="15" hidden="false" customHeight="false" outlineLevel="0" collapsed="false">
      <c r="A9" s="51" t="s">
        <v>448</v>
      </c>
      <c r="B9" s="52" t="n">
        <f aca="false">IFERROR((B5+B8)/SUM(B5:B8),0)</f>
        <v>0.84</v>
      </c>
    </row>
    <row r="10" customFormat="false" ht="15" hidden="false" customHeight="false" outlineLevel="0" collapsed="false">
      <c r="A10" s="51" t="s">
        <v>449</v>
      </c>
      <c r="B10" s="52" t="n">
        <f aca="false">IFERROR(B5/(B5+B7),0)</f>
        <v>0.526315789473684</v>
      </c>
    </row>
    <row r="11" customFormat="false" ht="15" hidden="false" customHeight="false" outlineLevel="0" collapsed="false">
      <c r="A11" s="51" t="s">
        <v>450</v>
      </c>
      <c r="B11" s="52" t="n">
        <f aca="false">IFERROR(B8/(B8+B6),0)</f>
        <v>0.91358024691358</v>
      </c>
    </row>
    <row r="12" customFormat="false" ht="15" hidden="false" customHeight="false" outlineLevel="0" collapsed="false">
      <c r="A12" s="51" t="s">
        <v>451</v>
      </c>
      <c r="B12" s="52" t="n">
        <f aca="false">IFERROR(B5/(B5+B6),0)</f>
        <v>0.588235294117647</v>
      </c>
    </row>
    <row r="13" customFormat="false" ht="15" hidden="false" customHeight="false" outlineLevel="0" collapsed="false">
      <c r="A13" s="51" t="s">
        <v>452</v>
      </c>
      <c r="B13" s="38" t="n">
        <f aca="false">SUM('Model Results'!$P$6:$P$105)</f>
        <v>17</v>
      </c>
    </row>
    <row r="14" customFormat="false" ht="15" hidden="false" customHeight="false" outlineLevel="0" collapsed="false">
      <c r="A14" s="51" t="s">
        <v>453</v>
      </c>
      <c r="B14" s="38" t="n">
        <f aca="false">SUM('Model Results'!$Q$6:$Q$105)</f>
        <v>19</v>
      </c>
    </row>
    <row r="17" customFormat="false" ht="15" hidden="false" customHeight="false" outlineLevel="0" collapsed="false">
      <c r="A17" s="40" t="s">
        <v>454</v>
      </c>
      <c r="B17" s="40" t="s">
        <v>455</v>
      </c>
      <c r="C17" s="40" t="s">
        <v>456</v>
      </c>
    </row>
    <row r="18" customFormat="false" ht="15" hidden="false" customHeight="false" outlineLevel="0" collapsed="false">
      <c r="A18" s="2" t="s">
        <v>211</v>
      </c>
      <c r="B18" s="2" t="n">
        <f aca="false">COUNTIF('Model Results'!$N$6:$N$105,A18)</f>
        <v>17</v>
      </c>
      <c r="C18" s="2" t="n">
        <f aca="false">COUNTIFS('Model Results'!$N$6:$N$105,A18,'Model Results'!$Q$6:$Q$105,1)</f>
        <v>10</v>
      </c>
    </row>
    <row r="19" customFormat="false" ht="15" hidden="false" customHeight="false" outlineLevel="0" collapsed="false">
      <c r="A19" s="2" t="s">
        <v>199</v>
      </c>
      <c r="B19" s="2" t="n">
        <f aca="false">COUNTIF('Model Results'!$N$6:$N$105,A19)</f>
        <v>16</v>
      </c>
      <c r="C19" s="2" t="n">
        <f aca="false">COUNTIFS('Model Results'!$N$6:$N$105,A19,'Model Results'!$Q$6:$Q$105,1)</f>
        <v>4</v>
      </c>
    </row>
    <row r="20" customFormat="false" ht="15" hidden="false" customHeight="false" outlineLevel="0" collapsed="false">
      <c r="A20" s="2" t="s">
        <v>223</v>
      </c>
      <c r="B20" s="2" t="n">
        <f aca="false">COUNTIF('Model Results'!$N$6:$N$105,A20)</f>
        <v>67</v>
      </c>
      <c r="C20" s="2" t="n">
        <f aca="false">COUNTIFS('Model Results'!$N$6:$N$105,A20,'Model Results'!$Q$6:$Q$105,1)</f>
        <v>5</v>
      </c>
    </row>
    <row r="22" customFormat="false" ht="15" hidden="false" customHeight="false" outlineLevel="0" collapsed="false">
      <c r="A22" s="40" t="s">
        <v>457</v>
      </c>
    </row>
    <row r="23" customFormat="false" ht="15" hidden="false" customHeight="false" outlineLevel="0" collapsed="false">
      <c r="A23" s="2" t="s">
        <v>458</v>
      </c>
      <c r="B23" s="2" t="n">
        <f aca="false">COUNTIF('Model Results'!$H$6:$H$105,A23)</f>
        <v>71</v>
      </c>
    </row>
    <row r="24" customFormat="false" ht="15" hidden="false" customHeight="false" outlineLevel="0" collapsed="false">
      <c r="A24" s="2" t="s">
        <v>459</v>
      </c>
      <c r="B24" s="2" t="n">
        <f aca="false">COUNTIF('Model Results'!$H$6:$H$105,A24)</f>
        <v>13</v>
      </c>
    </row>
    <row r="25" customFormat="false" ht="15" hidden="false" customHeight="false" outlineLevel="0" collapsed="false">
      <c r="A25" s="2" t="s">
        <v>460</v>
      </c>
      <c r="B25" s="2" t="n">
        <f aca="false">COUNTIF('Model Results'!$H$6:$H$105,A25)</f>
        <v>1</v>
      </c>
    </row>
    <row r="26" customFormat="false" ht="15" hidden="false" customHeight="false" outlineLevel="0" collapsed="false">
      <c r="A26" s="2" t="s">
        <v>461</v>
      </c>
      <c r="B26" s="2" t="n">
        <f aca="false">COUNTIF('Model Results'!$H$6:$H$105,A26)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2026-10-27T14:18:44Z</dcterms:created>
  <dc:creator>openpyxl</dc:creator>
  <dc:description/>
  <dc:language>en-US</dc:language>
  <cp:lastModifiedBy/>
  <dcterms:modified xsi:type="dcterms:W3CDTF">2026-10-27T14:18:46Z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